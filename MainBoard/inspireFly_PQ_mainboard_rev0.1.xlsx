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rginiatech-my.sharepoint.com/personal/shanew05_vt_edu/Documents/Documents - VT/"/>
    </mc:Choice>
  </mc:AlternateContent>
  <xr:revisionPtr revIDLastSave="94" documentId="8_{58EBA8D5-E3E6-484F-BE64-8B458C2CA85C}" xr6:coauthVersionLast="47" xr6:coauthVersionMax="47" xr10:uidLastSave="{151A2181-1044-4162-A39B-B5CEAE5B2635}"/>
  <bookViews>
    <workbookView xWindow="-27840" yWindow="5460" windowWidth="16200" windowHeight="9315" xr2:uid="{90A7F372-49DC-4743-8A39-617F3F98A630}"/>
  </bookViews>
  <sheets>
    <sheet name="Ordering Sheet" sheetId="1" r:id="rId1"/>
    <sheet name="BOM Comparison" sheetId="3" r:id="rId2"/>
    <sheet name="Constan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" l="1"/>
  <c r="G39" i="1"/>
  <c r="G44" i="1"/>
  <c r="E39" i="1"/>
  <c r="E40" i="1"/>
  <c r="G40" i="1" s="1"/>
  <c r="E41" i="1"/>
  <c r="G41" i="1" s="1"/>
  <c r="E42" i="1"/>
  <c r="G42" i="1" s="1"/>
  <c r="E43" i="1"/>
  <c r="G43" i="1" s="1"/>
  <c r="E44" i="1"/>
  <c r="E33" i="1"/>
  <c r="E34" i="1"/>
  <c r="E35" i="1"/>
  <c r="G35" i="1" s="1"/>
  <c r="E36" i="1"/>
  <c r="E37" i="1"/>
  <c r="G37" i="1" s="1"/>
  <c r="E38" i="1"/>
  <c r="G38" i="1" s="1"/>
  <c r="G33" i="1"/>
  <c r="G34" i="1"/>
  <c r="G36" i="1"/>
  <c r="E9" i="1"/>
  <c r="G9" i="1" s="1"/>
  <c r="G24" i="1"/>
  <c r="G26" i="1"/>
  <c r="E4" i="1"/>
  <c r="G4" i="1" s="1"/>
  <c r="E5" i="1"/>
  <c r="G5" i="1" s="1"/>
  <c r="E6" i="1"/>
  <c r="G6" i="1" s="1"/>
  <c r="E7" i="1"/>
  <c r="G7" i="1" s="1"/>
  <c r="E8" i="1"/>
  <c r="G8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E25" i="1"/>
  <c r="G25" i="1" s="1"/>
  <c r="E26" i="1"/>
  <c r="E27" i="1"/>
  <c r="G27" i="1" s="1"/>
  <c r="E28" i="1"/>
  <c r="G28" i="1" s="1"/>
  <c r="E29" i="1"/>
  <c r="G29" i="1" s="1"/>
  <c r="E30" i="1"/>
  <c r="G30" i="1" s="1"/>
  <c r="E31" i="1"/>
  <c r="G31" i="1" s="1"/>
  <c r="E32" i="1"/>
  <c r="G32" i="1" s="1"/>
  <c r="E3" i="1"/>
  <c r="G3" i="1" s="1"/>
  <c r="E2" i="1"/>
  <c r="G2" i="1" s="1"/>
</calcChain>
</file>

<file path=xl/sharedStrings.xml><?xml version="1.0" encoding="utf-8"?>
<sst xmlns="http://schemas.openxmlformats.org/spreadsheetml/2006/main" count="283" uniqueCount="204">
  <si>
    <t>Part Number</t>
  </si>
  <si>
    <t>Total</t>
  </si>
  <si>
    <t>Distributor</t>
  </si>
  <si>
    <t>Part Description</t>
  </si>
  <si>
    <t>CL05B104KA5NNNC</t>
  </si>
  <si>
    <t>CAP CER 0.1UF 25V X7R 0402</t>
  </si>
  <si>
    <t>Quantity Per Board</t>
  </si>
  <si>
    <t># of boards populated:</t>
  </si>
  <si>
    <t>Quantity To Order</t>
  </si>
  <si>
    <t xml:space="preserve">Cost Per </t>
  </si>
  <si>
    <t>Digikey</t>
  </si>
  <si>
    <t>CL05A105KO5NNNC</t>
  </si>
  <si>
    <t>CAP CER 1UF 16V X5R 0402</t>
  </si>
  <si>
    <t>CL05A475MO5NUNC</t>
  </si>
  <si>
    <t>CAP CER 4.7UF 16V X5R 0402</t>
  </si>
  <si>
    <t>C3216X5R1C476M160AB</t>
  </si>
  <si>
    <t>CAP CER 47UF 16V X5R 1206</t>
  </si>
  <si>
    <t>CL05B103KO5NNNC</t>
  </si>
  <si>
    <t>CAP CER 10000PF 16V X7R 0402</t>
  </si>
  <si>
    <t>CL05A106MP5NUNC</t>
  </si>
  <si>
    <t>CAP CER 10UF 10V X5R 0402</t>
  </si>
  <si>
    <t>CAP CER 470PF 10V C0G/NP0 0402</t>
  </si>
  <si>
    <t>885012005017</t>
  </si>
  <si>
    <t>885012005027</t>
  </si>
  <si>
    <t>CAP CER 22PF 16V C0G/NP0 0402</t>
  </si>
  <si>
    <t>GRT155R71A474KE01D</t>
  </si>
  <si>
    <t>CAP CER 0.47UF 10V X7R 0402</t>
  </si>
  <si>
    <t>100K</t>
  </si>
  <si>
    <t>5m</t>
  </si>
  <si>
    <t>1k</t>
  </si>
  <si>
    <t>10k</t>
  </si>
  <si>
    <t>143k</t>
  </si>
  <si>
    <t>50k</t>
  </si>
  <si>
    <t>2.2k</t>
  </si>
  <si>
    <t>280k</t>
  </si>
  <si>
    <t>250k</t>
  </si>
  <si>
    <t>6.2k</t>
  </si>
  <si>
    <t>36k</t>
  </si>
  <si>
    <t>40k</t>
  </si>
  <si>
    <t>ERJ-2RKF10R0X</t>
  </si>
  <si>
    <t>RES SMD 10 OHM 1% 1/10W 0402</t>
  </si>
  <si>
    <t>RT0402BRE07100KL</t>
  </si>
  <si>
    <t>RES SMD 100K OHM 0.1% 1/16W 0402</t>
  </si>
  <si>
    <t>WSLP12065L000FEA</t>
  </si>
  <si>
    <t>RES 0.005 OHM 1% 1W 1206</t>
  </si>
  <si>
    <t>ERA-2AEB102X</t>
  </si>
  <si>
    <t>RES SMD 1K OHM 0.1% 1/16W 0402</t>
  </si>
  <si>
    <t>ERA-2AEB103X</t>
  </si>
  <si>
    <t>RES SMD 10K OHM 0.1% 1/16W 0402</t>
  </si>
  <si>
    <t>RP0402BRD07143KL</t>
  </si>
  <si>
    <t>RES 143K OHM 0.1% 1/16W 0402</t>
  </si>
  <si>
    <t>CRCW040250K0FKED</t>
  </si>
  <si>
    <t>RES 50K OHM 1% 1/16W 0402</t>
  </si>
  <si>
    <t>ERA-2VEB2201X</t>
  </si>
  <si>
    <t>RES 2.2K OHM 0.1% 1/10W 0402</t>
  </si>
  <si>
    <t>CPF0402B280KE1</t>
  </si>
  <si>
    <t>RNCF0805BTE250K</t>
  </si>
  <si>
    <t>ERA-2ARB622X</t>
  </si>
  <si>
    <t>ERA-2AEB363X</t>
  </si>
  <si>
    <t>RES SMD 6.2K OHM 0.1% 1/16W 0402</t>
  </si>
  <si>
    <t>RES SMD 36K OHM 0.1% 1/16W 0402</t>
  </si>
  <si>
    <t>RNCF0402BTE40K0</t>
  </si>
  <si>
    <t>RES SMD 40K OHM 0.1% 1/10W 0402</t>
  </si>
  <si>
    <t>ERA-2AEB121X</t>
  </si>
  <si>
    <t>RES SMD 120 OHM 0.1% 1/16W 0402</t>
  </si>
  <si>
    <t>CPF 0402 280K 0.1% 25PPM 1K RL</t>
  </si>
  <si>
    <t>RES SMD 250K OHM 0.1% 1/4W 0805</t>
  </si>
  <si>
    <t>AOTA-B201210SR47MT</t>
  </si>
  <si>
    <t>IND 0.47UH 4.8A 24MOHM</t>
  </si>
  <si>
    <t>IHLP1212BZEZ2R2M1Z</t>
  </si>
  <si>
    <t>FIXED IND 2.2UH 5.7A 40.5 MOHM S</t>
  </si>
  <si>
    <t>MSS2P2-M3/89A</t>
  </si>
  <si>
    <t>DIODE SCHOTTKY 20V 2A DO219AD</t>
  </si>
  <si>
    <t>XZMDK68W-2</t>
  </si>
  <si>
    <t>LED RED CLEAR CHIP SMD</t>
  </si>
  <si>
    <t>INA185A4IDRLR</t>
  </si>
  <si>
    <t>IC CURR SENSE 1 CIRCUIT SOT563</t>
  </si>
  <si>
    <t>SI3477DV-T1-GE3</t>
  </si>
  <si>
    <t>MOSFET P-CH 12V 8A 6TSOP</t>
  </si>
  <si>
    <t>STM32L496VGY6PTR</t>
  </si>
  <si>
    <t>IC MCU 32BIT 1MB FLASH 100WLCSP</t>
  </si>
  <si>
    <t>FUSB302BMPX</t>
  </si>
  <si>
    <t>IC USB TYPE C CTLR PROGR 14-MLP</t>
  </si>
  <si>
    <t>BNO086</t>
  </si>
  <si>
    <t>ACCELROMETER/GYRO SMD</t>
  </si>
  <si>
    <t>TPS63802DLAR</t>
  </si>
  <si>
    <t>IC REG BUCK BOOST ADJ 2A 10VSON</t>
  </si>
  <si>
    <t>BQ25756ERRVR</t>
  </si>
  <si>
    <t>Charger IC Multi-Chemistry 36-VQFN (5x6)</t>
  </si>
  <si>
    <t>TCAN332DCNR</t>
  </si>
  <si>
    <t>IC TRANSCEIVER 1/1 SOT238</t>
  </si>
  <si>
    <t>IC ELECTRONIC FUSE 10VQFN</t>
  </si>
  <si>
    <t>TPS259472ARPWR</t>
  </si>
  <si>
    <t>ABS07-32.768KHZ-T</t>
  </si>
  <si>
    <t>CRYSTAL 32.7680KHZ 12.5PF SMD</t>
  </si>
  <si>
    <t>TL1015AF160QG</t>
  </si>
  <si>
    <t>SWITCH TACTILE SPST-NO 0.05A 12V</t>
  </si>
  <si>
    <t>PMV19XNEAR</t>
  </si>
  <si>
    <t>MOSFET N-CH 30V 6A TO236AB</t>
  </si>
  <si>
    <t>497-5235-1-ND</t>
  </si>
  <si>
    <t>TVS DIODE 5.25VWM 17VC SOT23-6</t>
  </si>
  <si>
    <t>YC158TJR-072K2L</t>
  </si>
  <si>
    <t>RES ARRAY 8 RES 2.2K OHM 1206</t>
  </si>
  <si>
    <t>USB4110-GF-A</t>
  </si>
  <si>
    <t>CONN RCP USB2.0 TYP C 24P SMD RA</t>
  </si>
  <si>
    <t>M55-7104042R</t>
  </si>
  <si>
    <t>CONN HEADER SMD R/A 40POS 1.27MM</t>
  </si>
  <si>
    <t>Total Price</t>
  </si>
  <si>
    <t>Sourced</t>
  </si>
  <si>
    <t>Placed</t>
  </si>
  <si>
    <t>References</t>
  </si>
  <si>
    <t>Value</t>
  </si>
  <si>
    <t>Footprint</t>
  </si>
  <si>
    <t>Quantity</t>
  </si>
  <si>
    <t>C2, C3, C4, C5, C12, C13, C14, C15, C17, C20, C21, C22, C23, C24, C25, C28, C30, C32, C33, C41, C42, C43, C45, C47</t>
  </si>
  <si>
    <t>100nF</t>
  </si>
  <si>
    <t>C_0402_1005Metric</t>
  </si>
  <si>
    <t>C1, C9, C16, C19, C38</t>
  </si>
  <si>
    <t>1uF</t>
  </si>
  <si>
    <t>C34, C35, C39, C40, C50</t>
  </si>
  <si>
    <t>47uF</t>
  </si>
  <si>
    <t>C_1206_3216Metric_Pad1.33x1.80mm_HandSolder</t>
  </si>
  <si>
    <t>C10, C11, C36, C37</t>
  </si>
  <si>
    <t>4.7uF</t>
  </si>
  <si>
    <t>C8, C48, C49</t>
  </si>
  <si>
    <t>10nF</t>
  </si>
  <si>
    <t>C18, C26, C27</t>
  </si>
  <si>
    <t>10uF</t>
  </si>
  <si>
    <t>C6, C7</t>
  </si>
  <si>
    <t>470pF</t>
  </si>
  <si>
    <t>C29, C46</t>
  </si>
  <si>
    <t>22pF</t>
  </si>
  <si>
    <t>C31, C44</t>
  </si>
  <si>
    <t>470nF</t>
  </si>
  <si>
    <t>R18, R23, R27, R28, R30</t>
  </si>
  <si>
    <t>R_0402_1005Metric</t>
  </si>
  <si>
    <t>R4, R22, R32, R34</t>
  </si>
  <si>
    <t>R21, R29, R31, R33</t>
  </si>
  <si>
    <t>R_1206_3216Metric_Pad1.30x1.75mm_HandSolder</t>
  </si>
  <si>
    <t>R1, R2, R5</t>
  </si>
  <si>
    <t>R10, R24, R26</t>
  </si>
  <si>
    <t>R3, R14</t>
  </si>
  <si>
    <t>R12, R19</t>
  </si>
  <si>
    <t>R8</t>
  </si>
  <si>
    <t>R11</t>
  </si>
  <si>
    <t>R15</t>
  </si>
  <si>
    <t>R16</t>
  </si>
  <si>
    <t>R17</t>
  </si>
  <si>
    <t>R20</t>
  </si>
  <si>
    <t>R25</t>
  </si>
  <si>
    <t>L1</t>
  </si>
  <si>
    <t>470nH</t>
  </si>
  <si>
    <t>L_0805_2012Metric_Pad1.15x1.40mm_HandSolder</t>
  </si>
  <si>
    <t>L2</t>
  </si>
  <si>
    <t>2.2uH</t>
  </si>
  <si>
    <t>D1</t>
  </si>
  <si>
    <t>DIODE_MSP3V3</t>
  </si>
  <si>
    <t>D2</t>
  </si>
  <si>
    <t>LED</t>
  </si>
  <si>
    <t>LED_0402_1005Metric</t>
  </si>
  <si>
    <t>U1, U11</t>
  </si>
  <si>
    <t>SOT_INA185_TEX</t>
  </si>
  <si>
    <t>U10, U12</t>
  </si>
  <si>
    <t>SOT_V-T1-GE3_VIS-M</t>
  </si>
  <si>
    <t>U3</t>
  </si>
  <si>
    <t>STM32L496VGY6TR</t>
  </si>
  <si>
    <t>U4</t>
  </si>
  <si>
    <t>MLP14_2P5X2P5_ONS</t>
  </si>
  <si>
    <t>U5</t>
  </si>
  <si>
    <t>U6</t>
  </si>
  <si>
    <t>VREG_TPS63802DLAR</t>
  </si>
  <si>
    <t>U8</t>
  </si>
  <si>
    <t>IC_BQ25756ERRVR</t>
  </si>
  <si>
    <t>U9</t>
  </si>
  <si>
    <t>SOT65P280X145-8N</t>
  </si>
  <si>
    <t>U13</t>
  </si>
  <si>
    <t>RPW0010A-MFG</t>
  </si>
  <si>
    <t>Y1</t>
  </si>
  <si>
    <t>XTAL_ABS07-32.768KHZ-T</t>
  </si>
  <si>
    <t>SW1, SW2</t>
  </si>
  <si>
    <t>SW_TL1015AF160QG</t>
  </si>
  <si>
    <t>Q1, Q2, Q3, Q4</t>
  </si>
  <si>
    <t>TO-236AB_SOT23_NEX</t>
  </si>
  <si>
    <t>CR1</t>
  </si>
  <si>
    <t>USBLC6-2SC6</t>
  </si>
  <si>
    <t>SOT23-6L_STM</t>
  </si>
  <si>
    <t>RN1</t>
  </si>
  <si>
    <t>RESCAXE64P320X160X70-10N</t>
  </si>
  <si>
    <t>TP3</t>
  </si>
  <si>
    <t>3.3V</t>
  </si>
  <si>
    <t>TestPoint_Pad_D1.0mm</t>
  </si>
  <si>
    <t>TP4</t>
  </si>
  <si>
    <t>GND</t>
  </si>
  <si>
    <t>J2</t>
  </si>
  <si>
    <t>USB4110-GF-A_GCT</t>
  </si>
  <si>
    <t>J3</t>
  </si>
  <si>
    <t>HARWIN_M55-7104042R</t>
  </si>
  <si>
    <t>J4</t>
  </si>
  <si>
    <t>Conn_01x04_Pin</t>
  </si>
  <si>
    <t>PinHeader_2x02_P2.54mm_Vertical</t>
  </si>
  <si>
    <t>J5</t>
  </si>
  <si>
    <t>Conn_01x02_Pin</t>
  </si>
  <si>
    <t>PinHeader_1x02_P2.54mm_Vertical</t>
  </si>
  <si>
    <t>R_0805_2012Metric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</si>
</sst>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212D-D2B1-4AA1-8E95-17EB777828EB}">
  <dimension ref="A1:G46"/>
  <sheetViews>
    <sheetView tabSelected="1" workbookViewId="0">
      <selection activeCell="J13" sqref="J13"/>
    </sheetView>
  </sheetViews>
  <sheetFormatPr defaultRowHeight="14.25" x14ac:dyDescent="0.45"/>
  <cols>
    <col min="1" max="1" width="9.6640625" customWidth="1"/>
    <col min="2" max="2" width="20.796875" style="5" bestFit="1" customWidth="1"/>
    <col min="3" max="3" width="35.53125" bestFit="1" customWidth="1"/>
    <col min="4" max="4" width="16.46484375" bestFit="1" customWidth="1"/>
    <col min="5" max="5" width="16.46484375" customWidth="1"/>
    <col min="6" max="6" width="9" style="4" bestFit="1" customWidth="1"/>
    <col min="7" max="7" width="9.06640625" style="2"/>
  </cols>
  <sheetData>
    <row r="1" spans="1:7" x14ac:dyDescent="0.45">
      <c r="A1" t="s">
        <v>2</v>
      </c>
      <c r="B1" s="5" t="s">
        <v>0</v>
      </c>
      <c r="C1" t="s">
        <v>3</v>
      </c>
      <c r="D1" t="s">
        <v>6</v>
      </c>
      <c r="E1" t="s">
        <v>8</v>
      </c>
      <c r="F1" s="4" t="s">
        <v>9</v>
      </c>
      <c r="G1" s="2" t="s">
        <v>1</v>
      </c>
    </row>
    <row r="2" spans="1:7" x14ac:dyDescent="0.45">
      <c r="A2" t="s">
        <v>10</v>
      </c>
      <c r="B2" s="5" t="s">
        <v>4</v>
      </c>
      <c r="C2" t="s">
        <v>5</v>
      </c>
      <c r="D2">
        <v>24</v>
      </c>
      <c r="E2">
        <f xml:space="preserve"> D2 *Constants!$C$1</f>
        <v>120</v>
      </c>
      <c r="F2" s="4">
        <v>3.0000000000000001E-3</v>
      </c>
      <c r="G2" s="2">
        <f xml:space="preserve"> E2 *F2</f>
        <v>0.36</v>
      </c>
    </row>
    <row r="3" spans="1:7" x14ac:dyDescent="0.45">
      <c r="A3" t="s">
        <v>10</v>
      </c>
      <c r="B3" s="5" t="s">
        <v>11</v>
      </c>
      <c r="C3" t="s">
        <v>12</v>
      </c>
      <c r="D3">
        <v>5</v>
      </c>
      <c r="E3">
        <f xml:space="preserve"> D3 *Constants!$C$1</f>
        <v>25</v>
      </c>
      <c r="F3" s="4">
        <v>6.0000000000000001E-3</v>
      </c>
      <c r="G3" s="2">
        <f t="shared" ref="G3:G44" si="0" xml:space="preserve"> E3 *F3</f>
        <v>0.15</v>
      </c>
    </row>
    <row r="4" spans="1:7" x14ac:dyDescent="0.45">
      <c r="A4" t="s">
        <v>10</v>
      </c>
      <c r="B4" s="5" t="s">
        <v>15</v>
      </c>
      <c r="C4" t="s">
        <v>16</v>
      </c>
      <c r="D4">
        <v>5</v>
      </c>
      <c r="E4">
        <f xml:space="preserve"> D4 *Constants!$C$1</f>
        <v>25</v>
      </c>
      <c r="F4" s="4">
        <v>0.51</v>
      </c>
      <c r="G4" s="2">
        <f xml:space="preserve"> E4 *F4</f>
        <v>12.75</v>
      </c>
    </row>
    <row r="5" spans="1:7" x14ac:dyDescent="0.45">
      <c r="A5" t="s">
        <v>10</v>
      </c>
      <c r="B5" s="5" t="s">
        <v>13</v>
      </c>
      <c r="C5" s="3" t="s">
        <v>14</v>
      </c>
      <c r="D5">
        <v>4</v>
      </c>
      <c r="E5">
        <f xml:space="preserve"> D5 *Constants!$C$1</f>
        <v>20</v>
      </c>
      <c r="F5" s="4">
        <v>8.4000000000000005E-2</v>
      </c>
      <c r="G5" s="2">
        <f xml:space="preserve"> E5 *F5</f>
        <v>1.6800000000000002</v>
      </c>
    </row>
    <row r="6" spans="1:7" x14ac:dyDescent="0.45">
      <c r="A6" t="s">
        <v>10</v>
      </c>
      <c r="B6" s="5" t="s">
        <v>17</v>
      </c>
      <c r="C6" t="s">
        <v>18</v>
      </c>
      <c r="D6">
        <v>3</v>
      </c>
      <c r="E6">
        <f xml:space="preserve"> D6 *Constants!$C$1</f>
        <v>15</v>
      </c>
      <c r="F6" s="4">
        <v>2E-3</v>
      </c>
      <c r="G6" s="2">
        <f t="shared" si="0"/>
        <v>0.03</v>
      </c>
    </row>
    <row r="7" spans="1:7" x14ac:dyDescent="0.45">
      <c r="A7" t="s">
        <v>10</v>
      </c>
      <c r="B7" s="5" t="s">
        <v>19</v>
      </c>
      <c r="C7" t="s">
        <v>20</v>
      </c>
      <c r="D7">
        <v>3</v>
      </c>
      <c r="E7">
        <f xml:space="preserve"> D7 *Constants!$C$1</f>
        <v>15</v>
      </c>
      <c r="F7" s="4">
        <v>3.7999999999999999E-2</v>
      </c>
      <c r="G7" s="2">
        <f t="shared" si="0"/>
        <v>0.56999999999999995</v>
      </c>
    </row>
    <row r="8" spans="1:7" x14ac:dyDescent="0.45">
      <c r="A8" t="s">
        <v>10</v>
      </c>
      <c r="B8" s="5" t="s">
        <v>22</v>
      </c>
      <c r="C8" t="s">
        <v>21</v>
      </c>
      <c r="D8">
        <v>2</v>
      </c>
      <c r="E8">
        <f xml:space="preserve"> D8 *Constants!$C$1</f>
        <v>10</v>
      </c>
      <c r="F8" s="4">
        <v>2.4E-2</v>
      </c>
      <c r="G8" s="2">
        <f t="shared" si="0"/>
        <v>0.24</v>
      </c>
    </row>
    <row r="9" spans="1:7" x14ac:dyDescent="0.45">
      <c r="A9" t="s">
        <v>10</v>
      </c>
      <c r="B9" s="5" t="s">
        <v>23</v>
      </c>
      <c r="C9" t="s">
        <v>24</v>
      </c>
      <c r="D9">
        <v>2</v>
      </c>
      <c r="E9">
        <f xml:space="preserve"> D9 *Constants!$C$1</f>
        <v>10</v>
      </c>
      <c r="F9" s="4">
        <v>0.02</v>
      </c>
      <c r="G9" s="2">
        <f t="shared" si="0"/>
        <v>0.2</v>
      </c>
    </row>
    <row r="10" spans="1:7" x14ac:dyDescent="0.45">
      <c r="A10" t="s">
        <v>10</v>
      </c>
      <c r="B10" s="5" t="s">
        <v>25</v>
      </c>
      <c r="C10" t="s">
        <v>26</v>
      </c>
      <c r="D10">
        <v>2</v>
      </c>
      <c r="E10">
        <f xml:space="preserve"> D10 *Constants!$C$1</f>
        <v>10</v>
      </c>
      <c r="F10" s="4">
        <v>0.23799999999999999</v>
      </c>
      <c r="G10" s="2">
        <f t="shared" si="0"/>
        <v>2.38</v>
      </c>
    </row>
    <row r="11" spans="1:7" x14ac:dyDescent="0.45">
      <c r="A11" t="s">
        <v>10</v>
      </c>
      <c r="B11" s="5" t="s">
        <v>39</v>
      </c>
      <c r="C11" t="s">
        <v>40</v>
      </c>
      <c r="D11">
        <v>5</v>
      </c>
      <c r="E11">
        <f xml:space="preserve"> D11 *Constants!$C$1</f>
        <v>25</v>
      </c>
      <c r="F11" s="4">
        <v>2.8000000000000001E-2</v>
      </c>
      <c r="G11" s="2">
        <f t="shared" si="0"/>
        <v>0.70000000000000007</v>
      </c>
    </row>
    <row r="12" spans="1:7" x14ac:dyDescent="0.45">
      <c r="A12" t="s">
        <v>10</v>
      </c>
      <c r="B12" s="5" t="s">
        <v>41</v>
      </c>
      <c r="C12" t="s">
        <v>42</v>
      </c>
      <c r="D12">
        <v>4</v>
      </c>
      <c r="E12">
        <f xml:space="preserve"> D12 *Constants!$C$1</f>
        <v>20</v>
      </c>
      <c r="F12" s="4">
        <v>7.0999999999999994E-2</v>
      </c>
      <c r="G12" s="2">
        <f t="shared" si="0"/>
        <v>1.42</v>
      </c>
    </row>
    <row r="13" spans="1:7" x14ac:dyDescent="0.45">
      <c r="A13" t="s">
        <v>10</v>
      </c>
      <c r="B13" s="5" t="s">
        <v>43</v>
      </c>
      <c r="C13" t="s">
        <v>44</v>
      </c>
      <c r="D13">
        <v>4</v>
      </c>
      <c r="E13">
        <f xml:space="preserve"> D13 *Constants!$C$1</f>
        <v>20</v>
      </c>
      <c r="F13" s="4">
        <v>0.62</v>
      </c>
      <c r="G13" s="2">
        <f t="shared" si="0"/>
        <v>12.4</v>
      </c>
    </row>
    <row r="14" spans="1:7" x14ac:dyDescent="0.45">
      <c r="A14" t="s">
        <v>10</v>
      </c>
      <c r="B14" s="5" t="s">
        <v>45</v>
      </c>
      <c r="C14" t="s">
        <v>46</v>
      </c>
      <c r="D14">
        <v>3</v>
      </c>
      <c r="E14">
        <f xml:space="preserve"> D14 *Constants!$C$1</f>
        <v>15</v>
      </c>
      <c r="F14" s="4">
        <v>8.2000000000000003E-2</v>
      </c>
      <c r="G14" s="2">
        <f t="shared" si="0"/>
        <v>1.23</v>
      </c>
    </row>
    <row r="15" spans="1:7" x14ac:dyDescent="0.45">
      <c r="A15" t="s">
        <v>10</v>
      </c>
      <c r="B15" s="5" t="s">
        <v>47</v>
      </c>
      <c r="C15" t="s">
        <v>48</v>
      </c>
      <c r="D15">
        <v>3</v>
      </c>
      <c r="E15">
        <f xml:space="preserve"> D15 *Constants!$C$1</f>
        <v>15</v>
      </c>
      <c r="F15" s="4">
        <v>8.2000000000000003E-2</v>
      </c>
      <c r="G15" s="2">
        <f t="shared" si="0"/>
        <v>1.23</v>
      </c>
    </row>
    <row r="16" spans="1:7" x14ac:dyDescent="0.45">
      <c r="A16" t="s">
        <v>10</v>
      </c>
      <c r="B16" s="5" t="s">
        <v>49</v>
      </c>
      <c r="C16" t="s">
        <v>50</v>
      </c>
      <c r="D16">
        <v>2</v>
      </c>
      <c r="E16">
        <f xml:space="preserve"> D16 *Constants!$C$1</f>
        <v>10</v>
      </c>
      <c r="F16" s="4">
        <v>0.114</v>
      </c>
      <c r="G16" s="2">
        <f t="shared" si="0"/>
        <v>1.1400000000000001</v>
      </c>
    </row>
    <row r="17" spans="1:7" x14ac:dyDescent="0.45">
      <c r="A17" t="s">
        <v>10</v>
      </c>
      <c r="B17" s="5" t="s">
        <v>51</v>
      </c>
      <c r="C17" t="s">
        <v>52</v>
      </c>
      <c r="D17">
        <v>2</v>
      </c>
      <c r="E17">
        <f xml:space="preserve"> D17 *Constants!$C$1</f>
        <v>10</v>
      </c>
      <c r="F17" s="4">
        <v>0.04</v>
      </c>
      <c r="G17" s="2">
        <f t="shared" si="0"/>
        <v>0.4</v>
      </c>
    </row>
    <row r="18" spans="1:7" x14ac:dyDescent="0.45">
      <c r="A18" t="s">
        <v>10</v>
      </c>
      <c r="B18" s="5" t="s">
        <v>53</v>
      </c>
      <c r="C18" t="s">
        <v>54</v>
      </c>
      <c r="D18">
        <v>1</v>
      </c>
      <c r="E18">
        <f xml:space="preserve"> D18 *Constants!$C$1</f>
        <v>5</v>
      </c>
      <c r="F18" s="4">
        <v>0.23</v>
      </c>
      <c r="G18" s="2">
        <f t="shared" si="0"/>
        <v>1.1500000000000001</v>
      </c>
    </row>
    <row r="19" spans="1:7" x14ac:dyDescent="0.45">
      <c r="A19" t="s">
        <v>10</v>
      </c>
      <c r="B19" s="5" t="s">
        <v>55</v>
      </c>
      <c r="C19" t="s">
        <v>65</v>
      </c>
      <c r="D19">
        <v>1</v>
      </c>
      <c r="E19">
        <f xml:space="preserve"> D19 *Constants!$C$1</f>
        <v>5</v>
      </c>
      <c r="F19" s="4">
        <v>0.24</v>
      </c>
      <c r="G19" s="2">
        <f t="shared" si="0"/>
        <v>1.2</v>
      </c>
    </row>
    <row r="20" spans="1:7" x14ac:dyDescent="0.45">
      <c r="A20" t="s">
        <v>10</v>
      </c>
      <c r="B20" s="5" t="s">
        <v>56</v>
      </c>
      <c r="C20" t="s">
        <v>66</v>
      </c>
      <c r="D20">
        <v>1</v>
      </c>
      <c r="E20">
        <f xml:space="preserve"> D20 *Constants!$C$1</f>
        <v>5</v>
      </c>
      <c r="F20" s="4">
        <v>0.12</v>
      </c>
      <c r="G20" s="2">
        <f t="shared" si="0"/>
        <v>0.6</v>
      </c>
    </row>
    <row r="21" spans="1:7" x14ac:dyDescent="0.45">
      <c r="A21" t="s">
        <v>10</v>
      </c>
      <c r="B21" s="5" t="s">
        <v>57</v>
      </c>
      <c r="C21" t="s">
        <v>59</v>
      </c>
      <c r="D21">
        <v>1</v>
      </c>
      <c r="E21">
        <f xml:space="preserve"> D21 *Constants!$C$1</f>
        <v>5</v>
      </c>
      <c r="F21" s="4">
        <v>0.46</v>
      </c>
      <c r="G21" s="2">
        <f t="shared" si="0"/>
        <v>2.3000000000000003</v>
      </c>
    </row>
    <row r="22" spans="1:7" x14ac:dyDescent="0.45">
      <c r="A22" t="s">
        <v>10</v>
      </c>
      <c r="B22" s="5" t="s">
        <v>58</v>
      </c>
      <c r="C22" t="s">
        <v>60</v>
      </c>
      <c r="D22">
        <v>1</v>
      </c>
      <c r="E22">
        <f xml:space="preserve"> D22 *Constants!$C$1</f>
        <v>5</v>
      </c>
      <c r="F22" s="4">
        <v>0.1</v>
      </c>
      <c r="G22" s="2">
        <f t="shared" si="0"/>
        <v>0.5</v>
      </c>
    </row>
    <row r="23" spans="1:7" x14ac:dyDescent="0.45">
      <c r="A23" t="s">
        <v>10</v>
      </c>
      <c r="B23" s="5" t="s">
        <v>61</v>
      </c>
      <c r="C23" t="s">
        <v>62</v>
      </c>
      <c r="D23">
        <v>1</v>
      </c>
      <c r="E23">
        <f xml:space="preserve"> D23 *Constants!$C$1</f>
        <v>5</v>
      </c>
      <c r="F23" s="4">
        <v>0.1</v>
      </c>
      <c r="G23" s="2">
        <f t="shared" si="0"/>
        <v>0.5</v>
      </c>
    </row>
    <row r="24" spans="1:7" x14ac:dyDescent="0.45">
      <c r="A24" t="s">
        <v>10</v>
      </c>
      <c r="B24" s="5" t="s">
        <v>63</v>
      </c>
      <c r="C24" t="s">
        <v>64</v>
      </c>
      <c r="D24">
        <v>1</v>
      </c>
      <c r="E24">
        <f xml:space="preserve"> D24 *Constants!$C$1</f>
        <v>5</v>
      </c>
      <c r="F24" s="4">
        <v>0.1</v>
      </c>
      <c r="G24" s="2">
        <f t="shared" si="0"/>
        <v>0.5</v>
      </c>
    </row>
    <row r="25" spans="1:7" x14ac:dyDescent="0.45">
      <c r="A25" t="s">
        <v>10</v>
      </c>
      <c r="B25" s="5" t="s">
        <v>67</v>
      </c>
      <c r="C25" t="s">
        <v>68</v>
      </c>
      <c r="D25">
        <v>1</v>
      </c>
      <c r="E25">
        <f xml:space="preserve"> D25 *Constants!$C$1</f>
        <v>5</v>
      </c>
      <c r="F25" s="4">
        <v>0.25</v>
      </c>
      <c r="G25" s="2">
        <f t="shared" si="0"/>
        <v>1.25</v>
      </c>
    </row>
    <row r="26" spans="1:7" x14ac:dyDescent="0.45">
      <c r="A26" t="s">
        <v>10</v>
      </c>
      <c r="B26" s="5" t="s">
        <v>69</v>
      </c>
      <c r="C26" t="s">
        <v>70</v>
      </c>
      <c r="D26">
        <v>1</v>
      </c>
      <c r="E26">
        <f xml:space="preserve"> D26 *Constants!$C$1</f>
        <v>5</v>
      </c>
      <c r="F26" s="4">
        <v>1.03</v>
      </c>
      <c r="G26" s="2">
        <f t="shared" si="0"/>
        <v>5.15</v>
      </c>
    </row>
    <row r="27" spans="1:7" x14ac:dyDescent="0.45">
      <c r="A27" t="s">
        <v>10</v>
      </c>
      <c r="B27" s="5" t="s">
        <v>71</v>
      </c>
      <c r="C27" t="s">
        <v>72</v>
      </c>
      <c r="D27">
        <v>1</v>
      </c>
      <c r="E27">
        <f xml:space="preserve"> D27 *Constants!$C$1</f>
        <v>5</v>
      </c>
      <c r="F27" s="4">
        <v>0.21</v>
      </c>
      <c r="G27" s="2">
        <f t="shared" si="0"/>
        <v>1.05</v>
      </c>
    </row>
    <row r="28" spans="1:7" x14ac:dyDescent="0.45">
      <c r="A28" t="s">
        <v>10</v>
      </c>
      <c r="B28" s="5" t="s">
        <v>73</v>
      </c>
      <c r="C28" t="s">
        <v>74</v>
      </c>
      <c r="D28">
        <v>1</v>
      </c>
      <c r="E28">
        <f xml:space="preserve"> D28 *Constants!$C$1</f>
        <v>5</v>
      </c>
      <c r="F28" s="4">
        <v>0.22</v>
      </c>
      <c r="G28" s="2">
        <f t="shared" si="0"/>
        <v>1.1000000000000001</v>
      </c>
    </row>
    <row r="29" spans="1:7" x14ac:dyDescent="0.45">
      <c r="A29" t="s">
        <v>10</v>
      </c>
      <c r="B29" s="5" t="s">
        <v>75</v>
      </c>
      <c r="C29" t="s">
        <v>76</v>
      </c>
      <c r="D29">
        <v>2</v>
      </c>
      <c r="E29">
        <f xml:space="preserve"> D29 *Constants!$C$1</f>
        <v>10</v>
      </c>
      <c r="F29" s="4">
        <v>0.89200000000000002</v>
      </c>
      <c r="G29" s="2">
        <f t="shared" si="0"/>
        <v>8.92</v>
      </c>
    </row>
    <row r="30" spans="1:7" x14ac:dyDescent="0.45">
      <c r="A30" t="s">
        <v>10</v>
      </c>
      <c r="B30" s="5" t="s">
        <v>77</v>
      </c>
      <c r="C30" t="s">
        <v>78</v>
      </c>
      <c r="D30">
        <v>2</v>
      </c>
      <c r="E30">
        <f xml:space="preserve"> D30 *Constants!$C$1</f>
        <v>10</v>
      </c>
      <c r="F30" s="4">
        <v>0.70699999999999996</v>
      </c>
      <c r="G30" s="2">
        <f t="shared" si="0"/>
        <v>7.0699999999999994</v>
      </c>
    </row>
    <row r="31" spans="1:7" x14ac:dyDescent="0.45">
      <c r="A31" t="s">
        <v>10</v>
      </c>
      <c r="B31" s="5" t="s">
        <v>79</v>
      </c>
      <c r="C31" t="s">
        <v>80</v>
      </c>
      <c r="D31">
        <v>2</v>
      </c>
      <c r="E31">
        <f xml:space="preserve"> D31 *Constants!$C$1</f>
        <v>10</v>
      </c>
      <c r="F31" s="4">
        <v>7.8890000000000002</v>
      </c>
      <c r="G31" s="2">
        <f t="shared" si="0"/>
        <v>78.89</v>
      </c>
    </row>
    <row r="32" spans="1:7" x14ac:dyDescent="0.45">
      <c r="A32" t="s">
        <v>10</v>
      </c>
      <c r="B32" s="5" t="s">
        <v>81</v>
      </c>
      <c r="C32" t="s">
        <v>82</v>
      </c>
      <c r="D32">
        <v>1</v>
      </c>
      <c r="E32">
        <f xml:space="preserve"> D32 *Constants!$C$1</f>
        <v>5</v>
      </c>
      <c r="F32" s="4">
        <v>1.07</v>
      </c>
      <c r="G32" s="2">
        <f t="shared" si="0"/>
        <v>5.3500000000000005</v>
      </c>
    </row>
    <row r="33" spans="1:7" x14ac:dyDescent="0.45">
      <c r="A33" t="s">
        <v>10</v>
      </c>
      <c r="B33" s="5" t="s">
        <v>83</v>
      </c>
      <c r="C33" t="s">
        <v>84</v>
      </c>
      <c r="D33">
        <v>1</v>
      </c>
      <c r="E33">
        <f xml:space="preserve"> D33 *Constants!$C$1</f>
        <v>5</v>
      </c>
      <c r="F33" s="4">
        <v>12.17</v>
      </c>
      <c r="G33" s="2">
        <f t="shared" si="0"/>
        <v>60.85</v>
      </c>
    </row>
    <row r="34" spans="1:7" x14ac:dyDescent="0.45">
      <c r="A34" t="s">
        <v>10</v>
      </c>
      <c r="B34" s="5" t="s">
        <v>85</v>
      </c>
      <c r="C34" t="s">
        <v>86</v>
      </c>
      <c r="D34">
        <v>1</v>
      </c>
      <c r="E34">
        <f xml:space="preserve"> D34 *Constants!$C$1</f>
        <v>5</v>
      </c>
      <c r="F34" s="4">
        <v>2.75</v>
      </c>
      <c r="G34" s="2">
        <f t="shared" si="0"/>
        <v>13.75</v>
      </c>
    </row>
    <row r="35" spans="1:7" x14ac:dyDescent="0.45">
      <c r="A35" t="s">
        <v>10</v>
      </c>
      <c r="B35" s="5" t="s">
        <v>87</v>
      </c>
      <c r="C35" t="s">
        <v>88</v>
      </c>
      <c r="D35">
        <v>1</v>
      </c>
      <c r="E35">
        <f xml:space="preserve"> D35 *Constants!$C$1</f>
        <v>5</v>
      </c>
      <c r="F35" s="4">
        <v>6.39</v>
      </c>
      <c r="G35" s="2">
        <f t="shared" si="0"/>
        <v>31.95</v>
      </c>
    </row>
    <row r="36" spans="1:7" x14ac:dyDescent="0.45">
      <c r="A36" t="s">
        <v>10</v>
      </c>
      <c r="B36" s="5" t="s">
        <v>89</v>
      </c>
      <c r="C36" t="s">
        <v>90</v>
      </c>
      <c r="D36">
        <v>1</v>
      </c>
      <c r="E36">
        <f xml:space="preserve"> D36 *Constants!$C$1</f>
        <v>5</v>
      </c>
      <c r="F36" s="4">
        <v>2.44</v>
      </c>
      <c r="G36" s="2">
        <f t="shared" si="0"/>
        <v>12.2</v>
      </c>
    </row>
    <row r="37" spans="1:7" x14ac:dyDescent="0.45">
      <c r="A37" t="s">
        <v>10</v>
      </c>
      <c r="B37" s="5" t="s">
        <v>92</v>
      </c>
      <c r="C37" t="s">
        <v>91</v>
      </c>
      <c r="D37">
        <v>1</v>
      </c>
      <c r="E37">
        <f xml:space="preserve"> D37 *Constants!$C$1</f>
        <v>5</v>
      </c>
      <c r="F37" s="4">
        <v>1.48</v>
      </c>
      <c r="G37" s="2">
        <f t="shared" si="0"/>
        <v>7.4</v>
      </c>
    </row>
    <row r="38" spans="1:7" x14ac:dyDescent="0.45">
      <c r="A38" t="s">
        <v>10</v>
      </c>
      <c r="B38" s="5" t="s">
        <v>93</v>
      </c>
      <c r="C38" t="s">
        <v>94</v>
      </c>
      <c r="D38">
        <v>1</v>
      </c>
      <c r="E38">
        <f xml:space="preserve"> D38 *Constants!$C$1</f>
        <v>5</v>
      </c>
      <c r="F38" s="4">
        <v>0.61</v>
      </c>
      <c r="G38" s="2">
        <f t="shared" si="0"/>
        <v>3.05</v>
      </c>
    </row>
    <row r="39" spans="1:7" x14ac:dyDescent="0.45">
      <c r="A39" t="s">
        <v>10</v>
      </c>
      <c r="B39" s="5" t="s">
        <v>95</v>
      </c>
      <c r="C39" t="s">
        <v>96</v>
      </c>
      <c r="D39">
        <v>2</v>
      </c>
      <c r="E39">
        <f xml:space="preserve"> D39 *Constants!$C$1</f>
        <v>10</v>
      </c>
      <c r="F39" s="4">
        <v>0.38900000000000001</v>
      </c>
      <c r="G39" s="2">
        <f t="shared" si="0"/>
        <v>3.89</v>
      </c>
    </row>
    <row r="40" spans="1:7" x14ac:dyDescent="0.45">
      <c r="A40" t="s">
        <v>10</v>
      </c>
      <c r="B40" s="5" t="s">
        <v>97</v>
      </c>
      <c r="C40" t="s">
        <v>98</v>
      </c>
      <c r="D40">
        <v>4</v>
      </c>
      <c r="E40">
        <f xml:space="preserve"> D40 *Constants!$C$1</f>
        <v>20</v>
      </c>
      <c r="F40" s="4">
        <v>0.39200000000000002</v>
      </c>
      <c r="G40" s="2">
        <f t="shared" si="0"/>
        <v>7.84</v>
      </c>
    </row>
    <row r="41" spans="1:7" x14ac:dyDescent="0.45">
      <c r="A41" t="s">
        <v>10</v>
      </c>
      <c r="B41" s="5" t="s">
        <v>99</v>
      </c>
      <c r="C41" t="s">
        <v>100</v>
      </c>
      <c r="D41">
        <v>1</v>
      </c>
      <c r="E41">
        <f xml:space="preserve"> D41 *Constants!$C$1</f>
        <v>5</v>
      </c>
      <c r="F41" s="4">
        <v>0.36</v>
      </c>
      <c r="G41" s="2">
        <f t="shared" si="0"/>
        <v>1.7999999999999998</v>
      </c>
    </row>
    <row r="42" spans="1:7" x14ac:dyDescent="0.45">
      <c r="A42" t="s">
        <v>10</v>
      </c>
      <c r="B42" s="5" t="s">
        <v>101</v>
      </c>
      <c r="C42" t="s">
        <v>102</v>
      </c>
      <c r="D42">
        <v>1</v>
      </c>
      <c r="E42">
        <f xml:space="preserve"> D42 *Constants!$C$1</f>
        <v>5</v>
      </c>
      <c r="F42" s="4">
        <v>0.1</v>
      </c>
      <c r="G42" s="2">
        <f t="shared" si="0"/>
        <v>0.5</v>
      </c>
    </row>
    <row r="43" spans="1:7" x14ac:dyDescent="0.45">
      <c r="A43" t="s">
        <v>10</v>
      </c>
      <c r="B43" s="5" t="s">
        <v>103</v>
      </c>
      <c r="C43" t="s">
        <v>104</v>
      </c>
      <c r="D43">
        <v>1</v>
      </c>
      <c r="E43">
        <f xml:space="preserve"> D43 *Constants!$C$1</f>
        <v>5</v>
      </c>
      <c r="F43" s="4">
        <v>1.24</v>
      </c>
      <c r="G43" s="2">
        <f t="shared" si="0"/>
        <v>6.2</v>
      </c>
    </row>
    <row r="44" spans="1:7" x14ac:dyDescent="0.45">
      <c r="A44" t="s">
        <v>10</v>
      </c>
      <c r="B44" s="5" t="s">
        <v>105</v>
      </c>
      <c r="C44" t="s">
        <v>106</v>
      </c>
      <c r="D44">
        <v>1</v>
      </c>
      <c r="E44">
        <f xml:space="preserve"> D44 *Constants!$C$1</f>
        <v>5</v>
      </c>
      <c r="F44" s="4">
        <v>2.46</v>
      </c>
      <c r="G44" s="2">
        <f t="shared" si="0"/>
        <v>12.3</v>
      </c>
    </row>
    <row r="46" spans="1:7" x14ac:dyDescent="0.45">
      <c r="A46" t="s">
        <v>107</v>
      </c>
      <c r="G46" s="2">
        <f>SUM(G2:G44)</f>
        <v>314.13999999999993</v>
      </c>
    </row>
  </sheetData>
  <pageMargins left="0.7" right="0.7" top="0.75" bottom="0.75" header="0.3" footer="0.3"/>
  <pageSetup orientation="portrait" r:id="rId1"/>
  <ignoredErrors>
    <ignoredError sqref="B8:B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EA32-5678-41C9-92DA-56BDDCDB8FAB}">
  <dimension ref="A1:G48"/>
  <sheetViews>
    <sheetView topLeftCell="A13" workbookViewId="0">
      <selection activeCell="K26" sqref="K26"/>
    </sheetView>
  </sheetViews>
  <sheetFormatPr defaultRowHeight="14.25" x14ac:dyDescent="0.45"/>
  <sheetData>
    <row r="1" spans="1:7" x14ac:dyDescent="0.45"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</row>
    <row r="2" spans="1:7" x14ac:dyDescent="0.45">
      <c r="A2">
        <v>1</v>
      </c>
      <c r="D2" t="s">
        <v>114</v>
      </c>
      <c r="E2" t="s">
        <v>115</v>
      </c>
      <c r="F2" t="s">
        <v>116</v>
      </c>
      <c r="G2">
        <v>24</v>
      </c>
    </row>
    <row r="3" spans="1:7" x14ac:dyDescent="0.45">
      <c r="A3">
        <v>2</v>
      </c>
      <c r="D3" t="s">
        <v>117</v>
      </c>
      <c r="E3" t="s">
        <v>118</v>
      </c>
      <c r="F3" t="s">
        <v>116</v>
      </c>
      <c r="G3">
        <v>5</v>
      </c>
    </row>
    <row r="4" spans="1:7" x14ac:dyDescent="0.45">
      <c r="A4">
        <v>3</v>
      </c>
      <c r="D4" t="s">
        <v>119</v>
      </c>
      <c r="E4" t="s">
        <v>120</v>
      </c>
      <c r="F4" t="s">
        <v>121</v>
      </c>
      <c r="G4">
        <v>5</v>
      </c>
    </row>
    <row r="5" spans="1:7" x14ac:dyDescent="0.45">
      <c r="A5">
        <v>4</v>
      </c>
      <c r="D5" t="s">
        <v>122</v>
      </c>
      <c r="E5" t="s">
        <v>123</v>
      </c>
      <c r="F5" t="s">
        <v>116</v>
      </c>
      <c r="G5">
        <v>4</v>
      </c>
    </row>
    <row r="6" spans="1:7" x14ac:dyDescent="0.45">
      <c r="A6">
        <v>5</v>
      </c>
      <c r="D6" t="s">
        <v>124</v>
      </c>
      <c r="E6" t="s">
        <v>125</v>
      </c>
      <c r="F6" t="s">
        <v>116</v>
      </c>
      <c r="G6">
        <v>3</v>
      </c>
    </row>
    <row r="7" spans="1:7" x14ac:dyDescent="0.45">
      <c r="A7">
        <v>6</v>
      </c>
      <c r="D7" t="s">
        <v>126</v>
      </c>
      <c r="E7" t="s">
        <v>127</v>
      </c>
      <c r="F7" t="s">
        <v>116</v>
      </c>
      <c r="G7">
        <v>3</v>
      </c>
    </row>
    <row r="8" spans="1:7" x14ac:dyDescent="0.45">
      <c r="A8">
        <v>7</v>
      </c>
      <c r="D8" t="s">
        <v>128</v>
      </c>
      <c r="E8" t="s">
        <v>129</v>
      </c>
      <c r="F8" t="s">
        <v>116</v>
      </c>
      <c r="G8">
        <v>2</v>
      </c>
    </row>
    <row r="9" spans="1:7" x14ac:dyDescent="0.45">
      <c r="A9">
        <v>8</v>
      </c>
      <c r="D9" t="s">
        <v>130</v>
      </c>
      <c r="E9" t="s">
        <v>131</v>
      </c>
      <c r="F9" t="s">
        <v>116</v>
      </c>
      <c r="G9">
        <v>2</v>
      </c>
    </row>
    <row r="10" spans="1:7" x14ac:dyDescent="0.45">
      <c r="A10">
        <v>9</v>
      </c>
      <c r="D10" t="s">
        <v>132</v>
      </c>
      <c r="E10" t="s">
        <v>133</v>
      </c>
      <c r="F10" t="s">
        <v>116</v>
      </c>
      <c r="G10">
        <v>2</v>
      </c>
    </row>
    <row r="11" spans="1:7" x14ac:dyDescent="0.45">
      <c r="A11">
        <v>10</v>
      </c>
      <c r="D11" t="s">
        <v>134</v>
      </c>
      <c r="E11">
        <v>10</v>
      </c>
      <c r="F11" t="s">
        <v>135</v>
      </c>
      <c r="G11">
        <v>5</v>
      </c>
    </row>
    <row r="12" spans="1:7" x14ac:dyDescent="0.45">
      <c r="A12">
        <v>11</v>
      </c>
      <c r="D12" t="s">
        <v>136</v>
      </c>
      <c r="E12" t="s">
        <v>27</v>
      </c>
      <c r="F12" t="s">
        <v>135</v>
      </c>
      <c r="G12">
        <v>4</v>
      </c>
    </row>
    <row r="13" spans="1:7" x14ac:dyDescent="0.45">
      <c r="A13">
        <v>12</v>
      </c>
      <c r="D13" t="s">
        <v>137</v>
      </c>
      <c r="E13" t="s">
        <v>28</v>
      </c>
      <c r="F13" t="s">
        <v>138</v>
      </c>
      <c r="G13">
        <v>4</v>
      </c>
    </row>
    <row r="14" spans="1:7" x14ac:dyDescent="0.45">
      <c r="A14">
        <v>13</v>
      </c>
      <c r="D14" t="s">
        <v>139</v>
      </c>
      <c r="E14" t="s">
        <v>29</v>
      </c>
      <c r="F14" t="s">
        <v>135</v>
      </c>
      <c r="G14">
        <v>3</v>
      </c>
    </row>
    <row r="15" spans="1:7" x14ac:dyDescent="0.45">
      <c r="A15">
        <v>14</v>
      </c>
      <c r="D15" t="s">
        <v>140</v>
      </c>
      <c r="E15" t="s">
        <v>30</v>
      </c>
      <c r="F15" t="s">
        <v>135</v>
      </c>
      <c r="G15">
        <v>3</v>
      </c>
    </row>
    <row r="16" spans="1:7" x14ac:dyDescent="0.45">
      <c r="A16">
        <v>15</v>
      </c>
      <c r="D16" t="s">
        <v>141</v>
      </c>
      <c r="E16" t="s">
        <v>31</v>
      </c>
      <c r="F16" t="s">
        <v>135</v>
      </c>
      <c r="G16">
        <v>2</v>
      </c>
    </row>
    <row r="17" spans="1:7" x14ac:dyDescent="0.45">
      <c r="A17">
        <v>16</v>
      </c>
      <c r="D17" t="s">
        <v>142</v>
      </c>
      <c r="E17" t="s">
        <v>32</v>
      </c>
      <c r="F17" t="s">
        <v>135</v>
      </c>
      <c r="G17">
        <v>2</v>
      </c>
    </row>
    <row r="18" spans="1:7" x14ac:dyDescent="0.45">
      <c r="A18">
        <v>17</v>
      </c>
      <c r="D18" t="s">
        <v>143</v>
      </c>
      <c r="E18" t="s">
        <v>33</v>
      </c>
      <c r="F18" t="s">
        <v>135</v>
      </c>
      <c r="G18">
        <v>1</v>
      </c>
    </row>
    <row r="19" spans="1:7" x14ac:dyDescent="0.45">
      <c r="A19">
        <v>18</v>
      </c>
      <c r="D19" t="s">
        <v>144</v>
      </c>
      <c r="E19" t="s">
        <v>34</v>
      </c>
      <c r="F19" t="s">
        <v>135</v>
      </c>
      <c r="G19">
        <v>1</v>
      </c>
    </row>
    <row r="20" spans="1:7" x14ac:dyDescent="0.45">
      <c r="A20">
        <v>19</v>
      </c>
      <c r="D20" t="s">
        <v>145</v>
      </c>
      <c r="E20" t="s">
        <v>35</v>
      </c>
      <c r="F20" t="s">
        <v>203</v>
      </c>
      <c r="G20">
        <v>1</v>
      </c>
    </row>
    <row r="21" spans="1:7" x14ac:dyDescent="0.45">
      <c r="A21">
        <v>20</v>
      </c>
      <c r="D21" t="s">
        <v>146</v>
      </c>
      <c r="E21" t="s">
        <v>36</v>
      </c>
      <c r="F21" t="s">
        <v>135</v>
      </c>
      <c r="G21">
        <v>1</v>
      </c>
    </row>
    <row r="22" spans="1:7" x14ac:dyDescent="0.45">
      <c r="A22">
        <v>21</v>
      </c>
      <c r="D22" t="s">
        <v>147</v>
      </c>
      <c r="E22" t="s">
        <v>37</v>
      </c>
      <c r="F22" t="s">
        <v>135</v>
      </c>
      <c r="G22">
        <v>1</v>
      </c>
    </row>
    <row r="23" spans="1:7" x14ac:dyDescent="0.45">
      <c r="A23">
        <v>22</v>
      </c>
      <c r="D23" t="s">
        <v>148</v>
      </c>
      <c r="E23" t="s">
        <v>38</v>
      </c>
      <c r="F23" t="s">
        <v>135</v>
      </c>
      <c r="G23">
        <v>1</v>
      </c>
    </row>
    <row r="24" spans="1:7" x14ac:dyDescent="0.45">
      <c r="A24">
        <v>23</v>
      </c>
      <c r="D24" t="s">
        <v>149</v>
      </c>
      <c r="E24">
        <v>120</v>
      </c>
      <c r="F24" t="s">
        <v>135</v>
      </c>
      <c r="G24">
        <v>1</v>
      </c>
    </row>
    <row r="25" spans="1:7" x14ac:dyDescent="0.45">
      <c r="A25">
        <v>24</v>
      </c>
      <c r="D25" t="s">
        <v>150</v>
      </c>
      <c r="E25" t="s">
        <v>151</v>
      </c>
      <c r="F25" t="s">
        <v>152</v>
      </c>
      <c r="G25">
        <v>1</v>
      </c>
    </row>
    <row r="26" spans="1:7" x14ac:dyDescent="0.45">
      <c r="A26">
        <v>25</v>
      </c>
      <c r="D26" t="s">
        <v>153</v>
      </c>
      <c r="E26" t="s">
        <v>154</v>
      </c>
      <c r="F26" t="s">
        <v>69</v>
      </c>
      <c r="G26">
        <v>1</v>
      </c>
    </row>
    <row r="27" spans="1:7" x14ac:dyDescent="0.45">
      <c r="A27">
        <v>26</v>
      </c>
      <c r="D27" t="s">
        <v>155</v>
      </c>
      <c r="E27" t="s">
        <v>71</v>
      </c>
      <c r="F27" t="s">
        <v>156</v>
      </c>
      <c r="G27">
        <v>1</v>
      </c>
    </row>
    <row r="28" spans="1:7" x14ac:dyDescent="0.45">
      <c r="A28">
        <v>27</v>
      </c>
      <c r="D28" t="s">
        <v>157</v>
      </c>
      <c r="E28" t="s">
        <v>158</v>
      </c>
      <c r="F28" t="s">
        <v>159</v>
      </c>
      <c r="G28">
        <v>1</v>
      </c>
    </row>
    <row r="29" spans="1:7" x14ac:dyDescent="0.45">
      <c r="A29">
        <v>28</v>
      </c>
      <c r="D29" t="s">
        <v>160</v>
      </c>
      <c r="E29" t="s">
        <v>75</v>
      </c>
      <c r="F29" t="s">
        <v>161</v>
      </c>
      <c r="G29">
        <v>2</v>
      </c>
    </row>
    <row r="30" spans="1:7" x14ac:dyDescent="0.45">
      <c r="A30">
        <v>29</v>
      </c>
      <c r="D30" t="s">
        <v>162</v>
      </c>
      <c r="E30" t="s">
        <v>77</v>
      </c>
      <c r="F30" t="s">
        <v>163</v>
      </c>
      <c r="G30">
        <v>2</v>
      </c>
    </row>
    <row r="31" spans="1:7" x14ac:dyDescent="0.45">
      <c r="A31">
        <v>30</v>
      </c>
      <c r="D31" t="s">
        <v>164</v>
      </c>
      <c r="E31" t="s">
        <v>79</v>
      </c>
      <c r="F31" t="s">
        <v>165</v>
      </c>
      <c r="G31">
        <v>1</v>
      </c>
    </row>
    <row r="32" spans="1:7" x14ac:dyDescent="0.45">
      <c r="A32">
        <v>31</v>
      </c>
      <c r="D32" t="s">
        <v>166</v>
      </c>
      <c r="E32" t="s">
        <v>81</v>
      </c>
      <c r="F32" t="s">
        <v>167</v>
      </c>
      <c r="G32">
        <v>1</v>
      </c>
    </row>
    <row r="33" spans="1:7" x14ac:dyDescent="0.45">
      <c r="A33">
        <v>32</v>
      </c>
      <c r="D33" t="s">
        <v>168</v>
      </c>
      <c r="E33" t="s">
        <v>83</v>
      </c>
      <c r="F33" t="s">
        <v>83</v>
      </c>
      <c r="G33">
        <v>1</v>
      </c>
    </row>
    <row r="34" spans="1:7" x14ac:dyDescent="0.45">
      <c r="A34">
        <v>33</v>
      </c>
      <c r="D34" t="s">
        <v>169</v>
      </c>
      <c r="E34" t="s">
        <v>85</v>
      </c>
      <c r="F34" t="s">
        <v>170</v>
      </c>
      <c r="G34">
        <v>1</v>
      </c>
    </row>
    <row r="35" spans="1:7" x14ac:dyDescent="0.45">
      <c r="A35">
        <v>34</v>
      </c>
      <c r="D35" t="s">
        <v>171</v>
      </c>
      <c r="E35" t="s">
        <v>87</v>
      </c>
      <c r="F35" t="s">
        <v>172</v>
      </c>
      <c r="G35">
        <v>1</v>
      </c>
    </row>
    <row r="36" spans="1:7" x14ac:dyDescent="0.45">
      <c r="A36">
        <v>35</v>
      </c>
      <c r="D36" t="s">
        <v>173</v>
      </c>
      <c r="E36" t="s">
        <v>89</v>
      </c>
      <c r="F36" t="s">
        <v>174</v>
      </c>
      <c r="G36">
        <v>1</v>
      </c>
    </row>
    <row r="37" spans="1:7" x14ac:dyDescent="0.45">
      <c r="A37">
        <v>36</v>
      </c>
      <c r="D37" t="s">
        <v>175</v>
      </c>
      <c r="E37" t="s">
        <v>92</v>
      </c>
      <c r="F37" t="s">
        <v>176</v>
      </c>
      <c r="G37">
        <v>1</v>
      </c>
    </row>
    <row r="38" spans="1:7" x14ac:dyDescent="0.45">
      <c r="A38">
        <v>37</v>
      </c>
      <c r="D38" t="s">
        <v>177</v>
      </c>
      <c r="E38" t="s">
        <v>178</v>
      </c>
      <c r="F38" t="s">
        <v>178</v>
      </c>
      <c r="G38">
        <v>1</v>
      </c>
    </row>
    <row r="39" spans="1:7" x14ac:dyDescent="0.45">
      <c r="A39">
        <v>38</v>
      </c>
      <c r="D39" t="s">
        <v>179</v>
      </c>
      <c r="E39" t="s">
        <v>180</v>
      </c>
      <c r="F39" t="s">
        <v>180</v>
      </c>
      <c r="G39">
        <v>2</v>
      </c>
    </row>
    <row r="40" spans="1:7" x14ac:dyDescent="0.45">
      <c r="A40">
        <v>39</v>
      </c>
      <c r="D40" t="s">
        <v>181</v>
      </c>
      <c r="E40" t="s">
        <v>97</v>
      </c>
      <c r="F40" t="s">
        <v>182</v>
      </c>
      <c r="G40">
        <v>4</v>
      </c>
    </row>
    <row r="41" spans="1:7" x14ac:dyDescent="0.45">
      <c r="A41">
        <v>40</v>
      </c>
      <c r="D41" t="s">
        <v>183</v>
      </c>
      <c r="E41" t="s">
        <v>184</v>
      </c>
      <c r="F41" t="s">
        <v>185</v>
      </c>
      <c r="G41">
        <v>1</v>
      </c>
    </row>
    <row r="42" spans="1:7" x14ac:dyDescent="0.45">
      <c r="A42">
        <v>41</v>
      </c>
      <c r="D42" t="s">
        <v>186</v>
      </c>
      <c r="E42" t="s">
        <v>101</v>
      </c>
      <c r="F42" t="s">
        <v>187</v>
      </c>
      <c r="G42">
        <v>1</v>
      </c>
    </row>
    <row r="43" spans="1:7" x14ac:dyDescent="0.45">
      <c r="A43">
        <v>42</v>
      </c>
      <c r="D43" t="s">
        <v>188</v>
      </c>
      <c r="E43" t="s">
        <v>189</v>
      </c>
      <c r="F43" t="s">
        <v>190</v>
      </c>
      <c r="G43">
        <v>1</v>
      </c>
    </row>
    <row r="44" spans="1:7" x14ac:dyDescent="0.45">
      <c r="A44">
        <v>43</v>
      </c>
      <c r="D44" t="s">
        <v>191</v>
      </c>
      <c r="E44" t="s">
        <v>192</v>
      </c>
      <c r="F44" t="s">
        <v>190</v>
      </c>
      <c r="G44">
        <v>1</v>
      </c>
    </row>
    <row r="45" spans="1:7" x14ac:dyDescent="0.45">
      <c r="A45">
        <v>44</v>
      </c>
      <c r="D45" t="s">
        <v>193</v>
      </c>
      <c r="E45" t="s">
        <v>103</v>
      </c>
      <c r="F45" t="s">
        <v>194</v>
      </c>
      <c r="G45">
        <v>1</v>
      </c>
    </row>
    <row r="46" spans="1:7" x14ac:dyDescent="0.45">
      <c r="A46">
        <v>45</v>
      </c>
      <c r="D46" t="s">
        <v>195</v>
      </c>
      <c r="E46" t="s">
        <v>105</v>
      </c>
      <c r="F46" t="s">
        <v>196</v>
      </c>
      <c r="G46">
        <v>1</v>
      </c>
    </row>
    <row r="47" spans="1:7" x14ac:dyDescent="0.45">
      <c r="A47">
        <v>46</v>
      </c>
      <c r="D47" t="s">
        <v>197</v>
      </c>
      <c r="E47" t="s">
        <v>198</v>
      </c>
      <c r="F47" t="s">
        <v>199</v>
      </c>
      <c r="G47">
        <v>1</v>
      </c>
    </row>
    <row r="48" spans="1:7" x14ac:dyDescent="0.45">
      <c r="A48">
        <v>47</v>
      </c>
      <c r="D48" t="s">
        <v>200</v>
      </c>
      <c r="E48" t="s">
        <v>201</v>
      </c>
      <c r="F48" t="s">
        <v>202</v>
      </c>
      <c r="G4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4F03-FD0B-43C0-A9EF-67AB4B7E829F}">
  <dimension ref="A1:C1"/>
  <sheetViews>
    <sheetView workbookViewId="0">
      <selection sqref="A1:C1"/>
    </sheetView>
  </sheetViews>
  <sheetFormatPr defaultRowHeight="14.25" x14ac:dyDescent="0.45"/>
  <sheetData>
    <row r="1" spans="1:3" x14ac:dyDescent="0.45">
      <c r="A1" s="6" t="s">
        <v>7</v>
      </c>
      <c r="B1" s="6"/>
      <c r="C1" s="1">
        <v>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Ordering Sheet</vt:lpstr>
      <vt:lpstr>BOM Comparison</vt:lpstr>
      <vt:lpstr>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Wyman, Shane</dc:creator>
  <cp:lastModifiedBy>Wyman, Shane</cp:lastModifiedBy>
  <dcterms:created xsi:type="dcterms:W3CDTF">2025-12-01T15:07:49Z</dcterms:created>
  <dcterms:modified xsi:type="dcterms:W3CDTF">2025-12-01T19:00:09Z</dcterms:modified>
</cp:coreProperties>
</file>