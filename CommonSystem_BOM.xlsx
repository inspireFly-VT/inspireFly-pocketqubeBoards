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inspireFly-pocketqubeBoards\"/>
    </mc:Choice>
  </mc:AlternateContent>
  <xr:revisionPtr revIDLastSave="0" documentId="13_ncr:1_{448FB88A-1200-4155-9BEF-BB1A7794D9AF}" xr6:coauthVersionLast="47" xr6:coauthVersionMax="47" xr10:uidLastSave="{00000000-0000-0000-0000-000000000000}"/>
  <bookViews>
    <workbookView xWindow="-98" yWindow="-98" windowWidth="21795" windowHeight="12975" xr2:uid="{90A7F372-49DC-4743-8A39-617F3F98A630}"/>
  </bookViews>
  <sheets>
    <sheet name="All_Boards" sheetId="17" r:id="rId1"/>
    <sheet name="Config" sheetId="10" r:id="rId2"/>
    <sheet name="FlightController" sheetId="5" r:id="rId3"/>
    <sheet name="BatteryBoard" sheetId="6" r:id="rId4"/>
    <sheet name="AntennaBoard" sheetId="7" r:id="rId5"/>
    <sheet name="SolarBoard" sheetId="8" r:id="rId6"/>
    <sheet name="DemoBoardSTM" sheetId="9" r:id="rId7"/>
    <sheet name="Backplane" sheetId="4" r:id="rId8"/>
  </sheets>
  <definedNames>
    <definedName name="ExternalData_1" localSheetId="0" hidden="1">All_Boards!$A$1:$D$79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2" i="7"/>
  <c r="E3" i="7"/>
  <c r="E4" i="7"/>
  <c r="E5" i="7"/>
  <c r="E6" i="7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4A0CCB-2161-4220-85F6-88D4AB6BDFAD}" keepAlive="1" name="Query - All_Boards" description="Connection to the 'All_Boards' query in the workbook." type="5" refreshedVersion="8" background="1" saveData="1">
    <dbPr connection="Provider=Microsoft.Mashup.OleDb.1;Data Source=$Workbook$;Location=All_Boards;Extended Properties=&quot;&quot;" command="SELECT * FROM [All_Boards]"/>
  </connection>
  <connection id="2" xr16:uid="{793F2891-3C57-47D8-A5EA-B720CED4EE8C}" keepAlive="1" name="Query - AntennaBoard" description="Connection to the 'AntennaBoard' query in the workbook." type="5" refreshedVersion="0" background="1">
    <dbPr connection="Provider=Microsoft.Mashup.OleDb.1;Data Source=$Workbook$;Location=AntennaBoard;Extended Properties=&quot;&quot;" command="SELECT * FROM [AntennaBoard]"/>
  </connection>
  <connection id="3" xr16:uid="{99D69C47-EC55-4840-97CD-948CC8A0F18B}" keepAlive="1" name="Query - Backplane" description="Connection to the 'Backplane' query in the workbook." type="5" refreshedVersion="0" background="1">
    <dbPr connection="Provider=Microsoft.Mashup.OleDb.1;Data Source=$Workbook$;Location=Backplane;Extended Properties=&quot;&quot;" command="SELECT * FROM [Backplane]"/>
  </connection>
  <connection id="4" xr16:uid="{88113FED-CF2A-4DA7-B434-CF3E67970AE0}" keepAlive="1" name="Query - BatteryBoard" description="Connection to the 'BatteryBoard' query in the workbook." type="5" refreshedVersion="0" background="1">
    <dbPr connection="Provider=Microsoft.Mashup.OleDb.1;Data Source=$Workbook$;Location=BatteryBoard;Extended Properties=&quot;&quot;" command="SELECT * FROM [BatteryBoard]"/>
  </connection>
  <connection id="5" xr16:uid="{C8D8C1BF-5EB9-4D6D-81FC-845D87883069}" keepAlive="1" name="Query - DemoBoardSTM" description="Connection to the 'DemoBoardSTM' query in the workbook." type="5" refreshedVersion="0" background="1">
    <dbPr connection="Provider=Microsoft.Mashup.OleDb.1;Data Source=$Workbook$;Location=DemoBoardSTM;Extended Properties=&quot;&quot;" command="SELECT * FROM [DemoBoardSTM]"/>
  </connection>
  <connection id="6" xr16:uid="{AD09ACC9-4711-4B8B-87AF-B23B973028DB}" keepAlive="1" name="Query - FlightController" description="Connection to the 'FlightController' query in the workbook." type="5" refreshedVersion="0" background="1">
    <dbPr connection="Provider=Microsoft.Mashup.OleDb.1;Data Source=$Workbook$;Location=FlightController;Extended Properties=&quot;&quot;" command="SELECT * FROM [FlightController]"/>
  </connection>
  <connection id="7" xr16:uid="{2927E78B-FD3B-4D23-A72C-A838755EEBC8}" keepAlive="1" name="Query - SolarBoard" description="Connection to the 'SolarBoard' query in the workbook." type="5" refreshedVersion="0" background="1">
    <dbPr connection="Provider=Microsoft.Mashup.OleDb.1;Data Source=$Workbook$;Location=SolarBoard;Extended Properties=&quot;&quot;" command="SELECT * FROM [SolarBoard]"/>
  </connection>
  <connection id="8" xr16:uid="{14F5E35B-3C10-4859-90B2-66430267EF04}" keepAlive="1" name="Query - tbl_Config" description="Connection to the 'tbl_Config' query in the workbook." type="5" refreshedVersion="0" background="1">
    <dbPr connection="Provider=Microsoft.Mashup.OleDb.1;Data Source=$Workbook$;Location=tbl_Config;Extended Properties=&quot;&quot;" command="SELECT * FROM [tbl_Config]"/>
  </connection>
</connections>
</file>

<file path=xl/sharedStrings.xml><?xml version="1.0" encoding="utf-8"?>
<sst xmlns="http://schemas.openxmlformats.org/spreadsheetml/2006/main" count="606" uniqueCount="171">
  <si>
    <t>Part Number</t>
  </si>
  <si>
    <t>Distributor</t>
  </si>
  <si>
    <t>Part Description</t>
  </si>
  <si>
    <t>CL05B104KA5NNNC</t>
  </si>
  <si>
    <t>CAP CER 0.1UF 25V X7R 0402</t>
  </si>
  <si>
    <t>Quantity Per Board</t>
  </si>
  <si>
    <t>Digikey</t>
  </si>
  <si>
    <t>ERA-2AEB103X</t>
  </si>
  <si>
    <t>RES SMD 10K OHM 0.1% 1/16W 0402</t>
  </si>
  <si>
    <t>ERA-2AEB121X</t>
  </si>
  <si>
    <t>RES SMD 120 OHM 0.1% 1/16W 0402</t>
  </si>
  <si>
    <t>TCAN332DCNR</t>
  </si>
  <si>
    <t>IC TRANSCEIVER 1/1 SOT238</t>
  </si>
  <si>
    <t>TL1015AF160QG</t>
  </si>
  <si>
    <t>SWITCH TACTILE SPST-NO 0.05A 12V</t>
  </si>
  <si>
    <t>USB4110-GF-A</t>
  </si>
  <si>
    <t>CONN RCP USB2.0 TYP C 24P SMD RA</t>
  </si>
  <si>
    <t>TLV75533PDBVR</t>
  </si>
  <si>
    <t>M55-7101242R</t>
  </si>
  <si>
    <t>MSD-1-A</t>
  </si>
  <si>
    <t>GRM1555C1H180FA01D</t>
  </si>
  <si>
    <t>CAP CER 18PF 50V C0G/NP0 0402</t>
  </si>
  <si>
    <t>ERA-2AEB512X</t>
  </si>
  <si>
    <t>RES SMD 5.1K OHM 0.1% 1/16W 0402</t>
  </si>
  <si>
    <t>IC REG LINEAR 3.3V 500MA SOT23-5</t>
  </si>
  <si>
    <t>CONN HEADER SMD R/A 12POS 1.27MM</t>
  </si>
  <si>
    <t>CONN MICROSD CARD R/A SMD</t>
  </si>
  <si>
    <t>STM32U375CGT6Q</t>
  </si>
  <si>
    <t>W25Q128JVPIQ TR</t>
  </si>
  <si>
    <t>8Z-16.000MAHE-T</t>
  </si>
  <si>
    <t>GRM155Z71A105KE01D</t>
  </si>
  <si>
    <t>CAP CER 1UF 10V X7R 0402</t>
  </si>
  <si>
    <t>GRM188Z71A106KA73D</t>
  </si>
  <si>
    <t>CAP CER 10UF 10V X7R 0603</t>
  </si>
  <si>
    <t>CC0402JRNPO9BN220</t>
  </si>
  <si>
    <t>CAP CER 22PF 50V C0G/NPO 0402</t>
  </si>
  <si>
    <t>GRM32ER71E226KE15L</t>
  </si>
  <si>
    <t>CAP CER 22UF 25V X7R 1210</t>
  </si>
  <si>
    <t>CAP CER 2.2UF 10V X7R 0402</t>
  </si>
  <si>
    <t>GRM155Z71A225KE01D</t>
  </si>
  <si>
    <t>RT0402BRE07100KL</t>
  </si>
  <si>
    <t>RES SMD 100K OHM 0.1% 1/16W 0402</t>
  </si>
  <si>
    <t>ASMPH-0806-2R2M-T</t>
  </si>
  <si>
    <t>FIXED IND 2.2UH 1.2A 110 MOHM</t>
  </si>
  <si>
    <t>ULTRA-LOW-POWER WITH FPU ARM COR</t>
  </si>
  <si>
    <t>IC FLASH 128MBIT SPI/QUAD 8WSON</t>
  </si>
  <si>
    <t>ABS07-32.768KHZ-T</t>
  </si>
  <si>
    <t>CRYSTAL 32.7680KHZ 12.5PF SMD</t>
  </si>
  <si>
    <t>CRYSTAL 16.0000MHZ 12PF SMD</t>
  </si>
  <si>
    <t>FTSH-107-01-F-DV-K-P-TR</t>
  </si>
  <si>
    <t>CONN HEADER SMD 14POS 1.27MM</t>
  </si>
  <si>
    <t>CONN RCPT 40POS 0.05 GOLD SMD</t>
  </si>
  <si>
    <t>M55-6004042R</t>
  </si>
  <si>
    <t>CONN RCPT 12POS 0.05 GOLD SMD</t>
  </si>
  <si>
    <t>M55-6001242R</t>
  </si>
  <si>
    <t>CONN RCPT 26POS 0.05 GOLD SMD</t>
  </si>
  <si>
    <t>M55-6002642R</t>
  </si>
  <si>
    <t>IC USB TYPE C CTLR PROGR 14-MLP</t>
  </si>
  <si>
    <t>FUSB302BMPX</t>
  </si>
  <si>
    <t>DIODE SCHOTTKY 20V 2A DO219AD</t>
  </si>
  <si>
    <t>MSS2P2-M3/89A</t>
  </si>
  <si>
    <t>RES 2.2K OHM 0.1% 1/10W 0402</t>
  </si>
  <si>
    <t>ERA-2VEB2201X</t>
  </si>
  <si>
    <t>CAP CER 470PF 10V C0G/NP0 0402</t>
  </si>
  <si>
    <t>885012005017</t>
  </si>
  <si>
    <t>IC FLASH 256MBIT SPI 120MHZ 8SOP</t>
  </si>
  <si>
    <t>MX25L25645GM2I-08G</t>
  </si>
  <si>
    <t>CONN HEADER SMD R/A 40POS 1.27MM</t>
  </si>
  <si>
    <t>M55-7104042R</t>
  </si>
  <si>
    <t>RES ARRAY 8 RES 2.2K OHM 1206</t>
  </si>
  <si>
    <t>YC158TJR-072K2L</t>
  </si>
  <si>
    <t>ACCELROMETER/GYRO SMD</t>
  </si>
  <si>
    <t>BNO086</t>
  </si>
  <si>
    <t>IC MCU 32BIT 1MB FLASH 64LQFP</t>
  </si>
  <si>
    <t>STM32L496RGT6TR</t>
  </si>
  <si>
    <t>RES SMD 1K OHM 0.1% 1/16W 0402</t>
  </si>
  <si>
    <t>ERA-2AEB102X</t>
  </si>
  <si>
    <t>CAP CER 0.47UF 10V X7R 0402</t>
  </si>
  <si>
    <t>GRT155R71A474KE01D</t>
  </si>
  <si>
    <t>CAP CER 22PF 16V C0G/NP0 0402</t>
  </si>
  <si>
    <t>885012005027</t>
  </si>
  <si>
    <t>CAP CER 10000PF 16V X7R 0402</t>
  </si>
  <si>
    <t>CL05B103KO5NNNC</t>
  </si>
  <si>
    <t>CAP CER 4.7UF 10V X7R 0603</t>
  </si>
  <si>
    <t>GRM188Z71A475ME15D</t>
  </si>
  <si>
    <t>RT0402BRD0710RL</t>
  </si>
  <si>
    <t>RES SMD 10 OHM 0.1% 1/16W 0402</t>
  </si>
  <si>
    <t>PA1206DRF470R005L</t>
  </si>
  <si>
    <t>RES 0.005 OHM 0.5% 1W 1206</t>
  </si>
  <si>
    <t>RP0402BRD07143KL</t>
  </si>
  <si>
    <t>RES 143K OHM 0.1% 1/16W 0402</t>
  </si>
  <si>
    <t>RNCF0402DKE50K0</t>
  </si>
  <si>
    <t>RES SMD 50K OHM 0.5% 1/10W 0402</t>
  </si>
  <si>
    <t>RT0402BRD07100RL</t>
  </si>
  <si>
    <t>RES SMD 100 OHM 0.1% 1/16W 0402</t>
  </si>
  <si>
    <t>CPF0402B280KE1</t>
  </si>
  <si>
    <t>CPF 0402 280K 0.1% 25PPM 1K RL</t>
  </si>
  <si>
    <t>RC0402FR-07649KL</t>
  </si>
  <si>
    <t>RES 649K OHM 1% 1/16W 0402</t>
  </si>
  <si>
    <t>RE0402BRE07348KL</t>
  </si>
  <si>
    <t>RES SMD 348K OHM 0.1% 1/16W 0402</t>
  </si>
  <si>
    <t>RT0402BRD07750RL</t>
  </si>
  <si>
    <t>RES SMD 750 OHM 0.1% 1/16W 0402</t>
  </si>
  <si>
    <t>ERA-2AEB8252X</t>
  </si>
  <si>
    <t>RES SMD 82.5KOHM 0.1% 1/16W 0402</t>
  </si>
  <si>
    <t>ERA-2ARB622X</t>
  </si>
  <si>
    <t>RES SMD 6.2K OHM 0.1% 1/16W 0402</t>
  </si>
  <si>
    <t>ERA-2AEB363X</t>
  </si>
  <si>
    <t>RES SMD 36K OHM 0.1% 1/16W 0402</t>
  </si>
  <si>
    <t>RNCF0402BTE40K0</t>
  </si>
  <si>
    <t>RES SMD 40K OHM 0.1% 1/10W 0402</t>
  </si>
  <si>
    <t>AOTA-B201210SR47MT</t>
  </si>
  <si>
    <t>IND 0.47UH 4.8A 24MOHM</t>
  </si>
  <si>
    <t>SRP4020FA-2R2M</t>
  </si>
  <si>
    <t>FIXED IND 2.2UH 8A 23.5 MOHM SMD</t>
  </si>
  <si>
    <t>LTST-S270KRKT</t>
  </si>
  <si>
    <t>LED RED CLEAR CHIP SMD R/A</t>
  </si>
  <si>
    <t>INA185A4IDRLR</t>
  </si>
  <si>
    <t>IC CURR SENSE 1 CIRCUIT SOT563</t>
  </si>
  <si>
    <t>SI3477DV-T1-GE3</t>
  </si>
  <si>
    <t>MOSFET P-CH 12V 8A 6TSOP</t>
  </si>
  <si>
    <t>TPS2117DRLR</t>
  </si>
  <si>
    <t>1.6-V TO 5.5-V, 20-M, 4-A LOW IQ</t>
  </si>
  <si>
    <t>TPS63802DLAR</t>
  </si>
  <si>
    <t>IC REG BUCK BOOST ADJ 2A 10VSON</t>
  </si>
  <si>
    <t>BQ25756ERRVR</t>
  </si>
  <si>
    <t>Charger IC Multi-Chemistry 36-VQFN (5x6)</t>
  </si>
  <si>
    <t>TPS259472ARPWR</t>
  </si>
  <si>
    <t>IC ELECTRONIC FUSE 10VQFN</t>
  </si>
  <si>
    <t>PMPB13XNE,115</t>
  </si>
  <si>
    <t>MOSFET N-CH 30V 8A DFN2020MD-6</t>
  </si>
  <si>
    <t>NRBG104F3435B2F</t>
  </si>
  <si>
    <t>NTC 10K 3435K BETA 25/85 1%</t>
  </si>
  <si>
    <t>BH123A</t>
  </si>
  <si>
    <t>BATTERY HOLDER CR123A PC PIN</t>
  </si>
  <si>
    <t>T2N7002AK,LM</t>
  </si>
  <si>
    <t>MOSFET N-CH 60V 200MA SOT23</t>
  </si>
  <si>
    <t>M55-7102642R</t>
  </si>
  <si>
    <t>CONN HEADER SMD R/A 26POS 1.27MM</t>
  </si>
  <si>
    <t>Mouser</t>
  </si>
  <si>
    <t>RFM98W-433S2</t>
  </si>
  <si>
    <t>RT0402BRD07200KL</t>
  </si>
  <si>
    <t>RES SMD 200K OHM 0.1% 1/16W 0402</t>
  </si>
  <si>
    <t>RE0402DRE07820KL</t>
  </si>
  <si>
    <t>RES SMD 820K OHM 0.5% 1/16W 0402</t>
  </si>
  <si>
    <t>RT0402BRD07215KL</t>
  </si>
  <si>
    <t>RES 215K OHM 0.1% 1/16W 0402</t>
  </si>
  <si>
    <t>RC0402FR-07549KL</t>
  </si>
  <si>
    <t>RES 549K OHM 1% 1/16W 0402</t>
  </si>
  <si>
    <t>74406032100</t>
  </si>
  <si>
    <t>FIXED IND 10UH 940MA 228 MOHM</t>
  </si>
  <si>
    <t>CDBQC0130L-HF</t>
  </si>
  <si>
    <t>DIODE SCHOTTKY 30V 100MA 0402C</t>
  </si>
  <si>
    <t>LTC3105EDD#TRPBF</t>
  </si>
  <si>
    <t>IC REG CONV ENERGY 1OUT 10DFN</t>
  </si>
  <si>
    <t>OPT3004DNPR</t>
  </si>
  <si>
    <t>SENSOR OPT 550NM AMBIENT 6 UDFN</t>
  </si>
  <si>
    <t>LM73100RPWR</t>
  </si>
  <si>
    <t>2.7-V TO 23-V, 5.5-A IDEAL DIODE</t>
  </si>
  <si>
    <t>KXOB25-14X1F-TR</t>
  </si>
  <si>
    <t>MONOCRYS SOLAR CELL 30.7MW 690MV</t>
  </si>
  <si>
    <t>Board Name</t>
  </si>
  <si>
    <t>FlightController</t>
  </si>
  <si>
    <t>BatteryBoard</t>
  </si>
  <si>
    <t>AntennaBoard</t>
  </si>
  <si>
    <t>SolarBoard</t>
  </si>
  <si>
    <t>DemoBoardSTM</t>
  </si>
  <si>
    <t>Backplane</t>
  </si>
  <si>
    <t>Scaled Quantity</t>
  </si>
  <si>
    <t>Multiplier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</si>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</sst>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BB69BE-599F-40E0-9686-435546ED5D86}" autoFormatId="16" applyNumberFormats="0" applyBorderFormats="0" applyFontFormats="0" applyPatternFormats="0" applyAlignmentFormats="0" applyWidthHeightFormats="0">
  <queryTableRefresh nextId="12">
    <queryTableFields count="4">
      <queryTableField id="8" name="Distributor" tableColumnId="8"/>
      <queryTableField id="2" name="Part Number" tableColumnId="2"/>
      <queryTableField id="9" name="Part Description" tableColumnId="9"/>
      <queryTableField id="7" name="Total Quant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F8800EF-BEBF-407B-9315-B93890216B1B}" name="All_Boards" displayName="All_Boards" ref="A1:D79" tableType="queryTable" totalsRowShown="0">
  <autoFilter ref="A1:D79" xr:uid="{9F8800EF-BEBF-407B-9315-B93890216B1B}"/>
  <tableColumns count="4">
    <tableColumn id="8" xr3:uid="{0AB76181-94CA-416A-9D61-35A28F72266C}" uniqueName="8" name="Distributor" queryTableFieldId="8" dataDxfId="13"/>
    <tableColumn id="2" xr3:uid="{3916D74E-EDAE-47F9-8131-8FE992F53902}" uniqueName="2" name="Part Number" queryTableFieldId="2" dataDxfId="0"/>
    <tableColumn id="9" xr3:uid="{095E05B2-3216-4268-84E8-D846A6737434}" uniqueName="9" name="Part Description" queryTableFieldId="9" dataDxfId="12"/>
    <tableColumn id="7" xr3:uid="{FB2BD333-D49F-49B8-9F23-0FD18A2D5F39}" uniqueName="7" name="Total Quantity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4D898D-55FA-4AC8-9B1E-6A2BD575898D}" name="tbl_Config" displayName="tbl_Config" ref="A1:B7" totalsRowShown="0">
  <autoFilter ref="A1:B7" xr:uid="{C94D898D-55FA-4AC8-9B1E-6A2BD575898D}"/>
  <tableColumns count="2">
    <tableColumn id="1" xr3:uid="{08D42321-04DF-435C-8985-581910DFD794}" name="Board Name"/>
    <tableColumn id="2" xr3:uid="{EC8129A9-FEB4-4F33-BE57-BAD0BF95225F}" name="Multipl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42ABD-37F0-4B9B-9B2D-C7514BD48CA2}" name="tbl_FlightController" displayName="tbl_FlightController" ref="A1:E20" totalsRowShown="0">
  <autoFilter ref="A1:E20" xr:uid="{86E42ABD-37F0-4B9B-9B2D-C7514BD48CA2}"/>
  <tableColumns count="5">
    <tableColumn id="1" xr3:uid="{352D9A6F-3C53-46B8-8B7D-400737C57C76}" name="Distributor"/>
    <tableColumn id="2" xr3:uid="{4F87BB4A-6E3D-4E2D-A981-24493FC67A09}" name="Part Number" dataDxfId="11"/>
    <tableColumn id="3" xr3:uid="{3EB5AC98-F457-4971-B191-9A960A2014CC}" name="Part Description"/>
    <tableColumn id="4" xr3:uid="{04D0310C-79D9-4359-B0EF-9EE41015415F}" name="Quantity Per Board"/>
    <tableColumn id="6" xr3:uid="{3F8A3744-13D1-4C75-907A-CEBFC795B624}" name="Scaled Quantity" dataDxfId="10">
      <calculatedColumnFormula>tbl_FlightController[[#This Row],[Quantity Per Board]] * _xlfn.XLOOKUP("FlightController", tbl_Config[Board Name], tbl_Config[Multiplier])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0EC0CC-04A0-42DA-B8C1-1279169A1F37}" name="tbl_BatteryBoard" displayName="tbl_BatteryBoard" ref="A1:E38" totalsRowShown="0">
  <autoFilter ref="A1:E38" xr:uid="{B90EC0CC-04A0-42DA-B8C1-1279169A1F37}"/>
  <tableColumns count="5">
    <tableColumn id="1" xr3:uid="{3D61AC32-DE0C-4BE2-A396-674A173A4389}" name="Distributor"/>
    <tableColumn id="2" xr3:uid="{7D522757-1226-4C17-9AC2-945F8C34CEA1}" name="Part Number" dataDxfId="9"/>
    <tableColumn id="3" xr3:uid="{8EA39DC7-17B1-42A7-8FB3-07178700CE73}" name="Part Description"/>
    <tableColumn id="4" xr3:uid="{C67E93E7-BF38-4FD6-8ED4-CC099341BFFB}" name="Quantity Per Board"/>
    <tableColumn id="5" xr3:uid="{052E4F09-116F-47F0-BCA2-32DE2CA53959}" name="Scaled Quantity" dataDxfId="8">
      <calculatedColumnFormula>tbl_BatteryBoard[[#This Row],[Quantity Per Board]] * _xlfn.XLOOKUP("BatteryBoard", tbl_Config[Board Name], tbl_Config[Multiplier])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86753E-38E9-4AAE-9192-634131A8AA61}" name="tbl_AntennaBoard" displayName="tbl_AntennaBoard" ref="A1:E6" totalsRowShown="0">
  <autoFilter ref="A1:E6" xr:uid="{A386753E-38E9-4AAE-9192-634131A8AA61}"/>
  <tableColumns count="5">
    <tableColumn id="1" xr3:uid="{5B595009-D3A9-4A78-9A30-378FFCEF5D48}" name="Distributor"/>
    <tableColumn id="2" xr3:uid="{E031751A-191D-4719-8D4F-C0C75D7C2286}" name="Part Number" dataDxfId="7"/>
    <tableColumn id="3" xr3:uid="{B09CC72F-5996-457B-8289-54B546EBD60E}" name="Part Description"/>
    <tableColumn id="4" xr3:uid="{0BC95F5B-24AF-41B8-9FD0-DD71CAEDC9DF}" name="Quantity Per Board"/>
    <tableColumn id="5" xr3:uid="{0187013C-EFE7-4CF3-A5FD-E4022712F57F}" name="Scaled Quantity" dataDxfId="6">
      <calculatedColumnFormula>tbl_AntennaBoard[[#This Row],[Quantity Per Board]] * _xlfn.XLOOKUP("AntennaBoard", tbl_Config[Board Name], tbl_Config[Multiplier])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DA143B-95DF-49AB-B514-97A810CF5148}" name="tbl_SolarBoard" displayName="tbl_SolarBoard" ref="A1:E16" totalsRowShown="0">
  <autoFilter ref="A1:E16" xr:uid="{68DA143B-95DF-49AB-B514-97A810CF5148}"/>
  <tableColumns count="5">
    <tableColumn id="1" xr3:uid="{9EA55B2C-8C68-4889-8403-C89E8E86FAA6}" name="Distributor"/>
    <tableColumn id="2" xr3:uid="{8DDAC8E2-A3B4-4A03-8B9A-59616C1B4DD9}" name="Part Number" dataDxfId="5"/>
    <tableColumn id="3" xr3:uid="{9056B43C-033C-40CF-B6E5-46EE1122E4BF}" name="Part Description"/>
    <tableColumn id="4" xr3:uid="{6E766698-2D78-4426-B853-E1BE1C9866C0}" name="Quantity Per Board"/>
    <tableColumn id="5" xr3:uid="{816CAB85-7D80-4E4C-AA1F-52825A7E5470}" name="Scaled Quantity" dataDxfId="4">
      <calculatedColumnFormula>tbl_SolarBoard[[#This Row],[Quantity Per Board]] * _xlfn.XLOOKUP("SolarBoard", tbl_Config[Board Name], tbl_Config[Multiplier])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B460B2-4A0B-4B21-A3F4-C459BA368098}" name="tbl_DemoBoardSTM" displayName="tbl_DemoBoardSTM" ref="A1:E24" totalsRowShown="0">
  <autoFilter ref="A1:E24" xr:uid="{7FB460B2-4A0B-4B21-A3F4-C459BA368098}"/>
  <tableColumns count="5">
    <tableColumn id="1" xr3:uid="{11692DE4-21AE-485B-82EB-A90FAA0A8A84}" name="Distributor"/>
    <tableColumn id="2" xr3:uid="{BDEBE7B2-0A6D-4255-B16F-2C650F75C3D1}" name="Part Number"/>
    <tableColumn id="3" xr3:uid="{05A3A0F5-E757-4A31-A5EF-3FCB9AA99679}" name="Part Description"/>
    <tableColumn id="4" xr3:uid="{B482AED9-96A4-4FF5-B5AA-73E02D2A6A58}" name="Quantity Per Board"/>
    <tableColumn id="5" xr3:uid="{15C759E4-CFCE-481D-84D3-523F8DAB8A34}" name="Scaled Quantity" dataDxfId="3">
      <calculatedColumnFormula>tbl_DemoBoardSTM[[#This Row],[Quantity Per Board]] * _xlfn.XLOOKUP("DemoBoardSTM", tbl_Config[Board Name], tbl_Config[Multiplier])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039C8-7192-4C53-8FA5-84BA8FBACE12}" name="tbl_Backplane" displayName="tbl_Backplane" ref="A1:E12" totalsRowShown="0">
  <autoFilter ref="A1:E12" xr:uid="{B0D039C8-7192-4C53-8FA5-84BA8FBACE12}"/>
  <tableColumns count="5">
    <tableColumn id="1" xr3:uid="{1EDF760E-521D-40F8-9391-E1FC8680F1F9}" name="Distributor"/>
    <tableColumn id="2" xr3:uid="{10018DFB-5352-442A-891F-B6738B20CC0A}" name="Part Number" dataDxfId="2"/>
    <tableColumn id="3" xr3:uid="{4FE86041-7C56-4F6B-BDEB-F64751D836F4}" name="Part Description"/>
    <tableColumn id="4" xr3:uid="{E5C7F4A0-0D8D-42C7-8088-594AAD49EF6C}" name="Quantity Per Board"/>
    <tableColumn id="5" xr3:uid="{D29B0FC4-5CDE-427F-BE74-E6E1A5C08BC9}" name="Scaled Quantity" dataDxfId="1">
      <calculatedColumnFormula>tbl_Backplane[[#This Row],[Quantity Per Board]] * _xlfn.XLOOKUP("Backplane", tbl_Config[Board Name], tbl_Config[Multiplier])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F79F-5506-4EC0-9EAA-FF2602C0320A}">
  <dimension ref="A1:D79"/>
  <sheetViews>
    <sheetView tabSelected="1" workbookViewId="0">
      <selection activeCell="E64" sqref="E64"/>
    </sheetView>
  </sheetViews>
  <sheetFormatPr defaultRowHeight="14.25" x14ac:dyDescent="0.45"/>
  <cols>
    <col min="1" max="1" width="11.46484375" bestFit="1" customWidth="1"/>
    <col min="2" max="2" width="21.265625" style="4" bestFit="1" customWidth="1"/>
    <col min="3" max="3" width="33.86328125" bestFit="1" customWidth="1"/>
    <col min="4" max="4" width="13.9296875" customWidth="1"/>
    <col min="5" max="5" width="21.265625" bestFit="1" customWidth="1"/>
    <col min="6" max="6" width="33.86328125" bestFit="1" customWidth="1"/>
    <col min="7" max="7" width="17.796875" bestFit="1" customWidth="1"/>
    <col min="8" max="8" width="15.53125" bestFit="1" customWidth="1"/>
    <col min="9" max="9" width="13.33203125" bestFit="1" customWidth="1"/>
  </cols>
  <sheetData>
    <row r="1" spans="1:4" x14ac:dyDescent="0.45">
      <c r="A1" t="s">
        <v>1</v>
      </c>
      <c r="B1" s="4" t="s">
        <v>0</v>
      </c>
      <c r="C1" t="s">
        <v>2</v>
      </c>
      <c r="D1" t="s">
        <v>170</v>
      </c>
    </row>
    <row r="2" spans="1:4" x14ac:dyDescent="0.45">
      <c r="A2" t="s">
        <v>6</v>
      </c>
      <c r="B2" s="4" t="s">
        <v>3</v>
      </c>
      <c r="C2" t="s">
        <v>4</v>
      </c>
      <c r="D2">
        <v>145</v>
      </c>
    </row>
    <row r="3" spans="1:4" x14ac:dyDescent="0.45">
      <c r="A3" t="s">
        <v>6</v>
      </c>
      <c r="B3" s="4" t="s">
        <v>30</v>
      </c>
      <c r="C3" t="s">
        <v>31</v>
      </c>
      <c r="D3">
        <v>80</v>
      </c>
    </row>
    <row r="4" spans="1:4" x14ac:dyDescent="0.45">
      <c r="A4" t="s">
        <v>6</v>
      </c>
      <c r="B4" s="4" t="s">
        <v>84</v>
      </c>
      <c r="C4" t="s">
        <v>83</v>
      </c>
      <c r="D4">
        <v>30</v>
      </c>
    </row>
    <row r="5" spans="1:4" x14ac:dyDescent="0.45">
      <c r="A5" t="s">
        <v>6</v>
      </c>
      <c r="B5" s="4" t="s">
        <v>82</v>
      </c>
      <c r="C5" t="s">
        <v>81</v>
      </c>
      <c r="D5">
        <v>20</v>
      </c>
    </row>
    <row r="6" spans="1:4" x14ac:dyDescent="0.45">
      <c r="A6" t="s">
        <v>6</v>
      </c>
      <c r="B6" s="4" t="s">
        <v>32</v>
      </c>
      <c r="C6" t="s">
        <v>33</v>
      </c>
      <c r="D6">
        <v>140</v>
      </c>
    </row>
    <row r="7" spans="1:4" x14ac:dyDescent="0.45">
      <c r="A7" t="s">
        <v>6</v>
      </c>
      <c r="B7" s="4" t="s">
        <v>80</v>
      </c>
      <c r="C7" t="s">
        <v>79</v>
      </c>
      <c r="D7">
        <v>20</v>
      </c>
    </row>
    <row r="8" spans="1:4" x14ac:dyDescent="0.45">
      <c r="A8" t="s">
        <v>6</v>
      </c>
      <c r="B8" s="4" t="s">
        <v>78</v>
      </c>
      <c r="C8" t="s">
        <v>77</v>
      </c>
      <c r="D8">
        <v>20</v>
      </c>
    </row>
    <row r="9" spans="1:4" x14ac:dyDescent="0.45">
      <c r="A9" t="s">
        <v>6</v>
      </c>
      <c r="B9" s="4" t="s">
        <v>40</v>
      </c>
      <c r="C9" t="s">
        <v>41</v>
      </c>
      <c r="D9">
        <v>10</v>
      </c>
    </row>
    <row r="10" spans="1:4" x14ac:dyDescent="0.45">
      <c r="A10" t="s">
        <v>6</v>
      </c>
      <c r="B10" s="4" t="s">
        <v>76</v>
      </c>
      <c r="C10" t="s">
        <v>75</v>
      </c>
      <c r="D10">
        <v>10</v>
      </c>
    </row>
    <row r="11" spans="1:4" x14ac:dyDescent="0.45">
      <c r="A11" t="s">
        <v>6</v>
      </c>
      <c r="B11" s="4" t="s">
        <v>7</v>
      </c>
      <c r="C11" t="s">
        <v>8</v>
      </c>
      <c r="D11">
        <v>50</v>
      </c>
    </row>
    <row r="12" spans="1:4" x14ac:dyDescent="0.45">
      <c r="A12" t="s">
        <v>6</v>
      </c>
      <c r="B12" s="4" t="s">
        <v>9</v>
      </c>
      <c r="C12" t="s">
        <v>10</v>
      </c>
      <c r="D12">
        <v>10</v>
      </c>
    </row>
    <row r="13" spans="1:4" x14ac:dyDescent="0.45">
      <c r="A13" t="s">
        <v>6</v>
      </c>
      <c r="B13" s="4" t="s">
        <v>74</v>
      </c>
      <c r="C13" t="s">
        <v>73</v>
      </c>
      <c r="D13">
        <v>5</v>
      </c>
    </row>
    <row r="14" spans="1:4" x14ac:dyDescent="0.45">
      <c r="A14" t="s">
        <v>6</v>
      </c>
      <c r="B14" s="4" t="s">
        <v>72</v>
      </c>
      <c r="C14" t="s">
        <v>71</v>
      </c>
      <c r="D14">
        <v>5</v>
      </c>
    </row>
    <row r="15" spans="1:4" x14ac:dyDescent="0.45">
      <c r="A15" t="s">
        <v>6</v>
      </c>
      <c r="B15" s="4" t="s">
        <v>11</v>
      </c>
      <c r="C15" t="s">
        <v>12</v>
      </c>
      <c r="D15">
        <v>10</v>
      </c>
    </row>
    <row r="16" spans="1:4" x14ac:dyDescent="0.45">
      <c r="A16" t="s">
        <v>6</v>
      </c>
      <c r="B16" s="4" t="s">
        <v>46</v>
      </c>
      <c r="C16" t="s">
        <v>47</v>
      </c>
      <c r="D16">
        <v>15</v>
      </c>
    </row>
    <row r="17" spans="1:4" x14ac:dyDescent="0.45">
      <c r="A17" t="s">
        <v>6</v>
      </c>
      <c r="B17" s="4" t="s">
        <v>13</v>
      </c>
      <c r="C17" t="s">
        <v>14</v>
      </c>
      <c r="D17">
        <v>20</v>
      </c>
    </row>
    <row r="18" spans="1:4" x14ac:dyDescent="0.45">
      <c r="A18" t="s">
        <v>6</v>
      </c>
      <c r="B18" s="4" t="s">
        <v>70</v>
      </c>
      <c r="C18" t="s">
        <v>69</v>
      </c>
      <c r="D18">
        <v>5</v>
      </c>
    </row>
    <row r="19" spans="1:4" x14ac:dyDescent="0.45">
      <c r="A19" t="s">
        <v>6</v>
      </c>
      <c r="B19" s="4" t="s">
        <v>68</v>
      </c>
      <c r="C19" t="s">
        <v>67</v>
      </c>
      <c r="D19">
        <v>5</v>
      </c>
    </row>
    <row r="20" spans="1:4" x14ac:dyDescent="0.45">
      <c r="A20" t="s">
        <v>6</v>
      </c>
      <c r="B20" s="4" t="s">
        <v>66</v>
      </c>
      <c r="C20" t="s">
        <v>65</v>
      </c>
      <c r="D20">
        <v>5</v>
      </c>
    </row>
    <row r="21" spans="1:4" x14ac:dyDescent="0.45">
      <c r="A21" t="s">
        <v>6</v>
      </c>
      <c r="B21" s="4" t="s">
        <v>36</v>
      </c>
      <c r="C21" t="s">
        <v>37</v>
      </c>
      <c r="D21">
        <v>70</v>
      </c>
    </row>
    <row r="22" spans="1:4" x14ac:dyDescent="0.45">
      <c r="A22" t="s">
        <v>6</v>
      </c>
      <c r="B22" s="4" t="s">
        <v>64</v>
      </c>
      <c r="C22" t="s">
        <v>63</v>
      </c>
      <c r="D22">
        <v>20</v>
      </c>
    </row>
    <row r="23" spans="1:4" x14ac:dyDescent="0.45">
      <c r="A23" t="s">
        <v>6</v>
      </c>
      <c r="B23" s="4" t="s">
        <v>34</v>
      </c>
      <c r="C23" t="s">
        <v>35</v>
      </c>
      <c r="D23">
        <v>20</v>
      </c>
    </row>
    <row r="24" spans="1:4" x14ac:dyDescent="0.45">
      <c r="A24" t="s">
        <v>6</v>
      </c>
      <c r="B24" s="4" t="s">
        <v>85</v>
      </c>
      <c r="C24" t="s">
        <v>86</v>
      </c>
      <c r="D24">
        <v>25</v>
      </c>
    </row>
    <row r="25" spans="1:4" x14ac:dyDescent="0.45">
      <c r="A25" t="s">
        <v>6</v>
      </c>
      <c r="B25" s="4" t="s">
        <v>87</v>
      </c>
      <c r="C25" t="s">
        <v>88</v>
      </c>
      <c r="D25">
        <v>15</v>
      </c>
    </row>
    <row r="26" spans="1:4" x14ac:dyDescent="0.45">
      <c r="A26" t="s">
        <v>6</v>
      </c>
      <c r="B26" s="4" t="s">
        <v>89</v>
      </c>
      <c r="C26" t="s">
        <v>90</v>
      </c>
      <c r="D26">
        <v>10</v>
      </c>
    </row>
    <row r="27" spans="1:4" x14ac:dyDescent="0.45">
      <c r="A27" t="s">
        <v>6</v>
      </c>
      <c r="B27" s="4" t="s">
        <v>91</v>
      </c>
      <c r="C27" t="s">
        <v>92</v>
      </c>
      <c r="D27">
        <v>15</v>
      </c>
    </row>
    <row r="28" spans="1:4" x14ac:dyDescent="0.45">
      <c r="A28" t="s">
        <v>6</v>
      </c>
      <c r="B28" s="4" t="s">
        <v>93</v>
      </c>
      <c r="C28" t="s">
        <v>94</v>
      </c>
      <c r="D28">
        <v>10</v>
      </c>
    </row>
    <row r="29" spans="1:4" x14ac:dyDescent="0.45">
      <c r="A29" t="s">
        <v>6</v>
      </c>
      <c r="B29" s="4" t="s">
        <v>95</v>
      </c>
      <c r="C29" t="s">
        <v>96</v>
      </c>
      <c r="D29">
        <v>10</v>
      </c>
    </row>
    <row r="30" spans="1:4" x14ac:dyDescent="0.45">
      <c r="A30" t="s">
        <v>6</v>
      </c>
      <c r="B30" s="4" t="s">
        <v>97</v>
      </c>
      <c r="C30" t="s">
        <v>98</v>
      </c>
      <c r="D30">
        <v>5</v>
      </c>
    </row>
    <row r="31" spans="1:4" x14ac:dyDescent="0.45">
      <c r="A31" t="s">
        <v>6</v>
      </c>
      <c r="B31" s="4" t="s">
        <v>99</v>
      </c>
      <c r="C31" t="s">
        <v>100</v>
      </c>
      <c r="D31">
        <v>5</v>
      </c>
    </row>
    <row r="32" spans="1:4" x14ac:dyDescent="0.45">
      <c r="A32" t="s">
        <v>6</v>
      </c>
      <c r="B32" s="4" t="s">
        <v>101</v>
      </c>
      <c r="C32" t="s">
        <v>102</v>
      </c>
      <c r="D32">
        <v>5</v>
      </c>
    </row>
    <row r="33" spans="1:4" x14ac:dyDescent="0.45">
      <c r="A33" t="s">
        <v>6</v>
      </c>
      <c r="B33" s="4" t="s">
        <v>103</v>
      </c>
      <c r="C33" t="s">
        <v>104</v>
      </c>
      <c r="D33">
        <v>5</v>
      </c>
    </row>
    <row r="34" spans="1:4" x14ac:dyDescent="0.45">
      <c r="A34" t="s">
        <v>6</v>
      </c>
      <c r="B34" s="4" t="s">
        <v>105</v>
      </c>
      <c r="C34" t="s">
        <v>106</v>
      </c>
      <c r="D34">
        <v>5</v>
      </c>
    </row>
    <row r="35" spans="1:4" x14ac:dyDescent="0.45">
      <c r="A35" t="s">
        <v>6</v>
      </c>
      <c r="B35" s="4" t="s">
        <v>107</v>
      </c>
      <c r="C35" t="s">
        <v>108</v>
      </c>
      <c r="D35">
        <v>5</v>
      </c>
    </row>
    <row r="36" spans="1:4" x14ac:dyDescent="0.45">
      <c r="A36" t="s">
        <v>6</v>
      </c>
      <c r="B36" s="4" t="s">
        <v>109</v>
      </c>
      <c r="C36" t="s">
        <v>110</v>
      </c>
      <c r="D36">
        <v>5</v>
      </c>
    </row>
    <row r="37" spans="1:4" x14ac:dyDescent="0.45">
      <c r="A37" t="s">
        <v>6</v>
      </c>
      <c r="B37" s="4" t="s">
        <v>111</v>
      </c>
      <c r="C37" t="s">
        <v>112</v>
      </c>
      <c r="D37">
        <v>10</v>
      </c>
    </row>
    <row r="38" spans="1:4" x14ac:dyDescent="0.45">
      <c r="A38" t="s">
        <v>6</v>
      </c>
      <c r="B38" s="4" t="s">
        <v>113</v>
      </c>
      <c r="C38" t="s">
        <v>114</v>
      </c>
      <c r="D38">
        <v>5</v>
      </c>
    </row>
    <row r="39" spans="1:4" x14ac:dyDescent="0.45">
      <c r="A39" t="s">
        <v>6</v>
      </c>
      <c r="B39" s="4" t="s">
        <v>115</v>
      </c>
      <c r="C39" t="s">
        <v>116</v>
      </c>
      <c r="D39">
        <v>5</v>
      </c>
    </row>
    <row r="40" spans="1:4" x14ac:dyDescent="0.45">
      <c r="A40" t="s">
        <v>6</v>
      </c>
      <c r="B40" s="4" t="s">
        <v>117</v>
      </c>
      <c r="C40" t="s">
        <v>118</v>
      </c>
      <c r="D40">
        <v>10</v>
      </c>
    </row>
    <row r="41" spans="1:4" x14ac:dyDescent="0.45">
      <c r="A41" t="s">
        <v>6</v>
      </c>
      <c r="B41" s="4" t="s">
        <v>119</v>
      </c>
      <c r="C41" t="s">
        <v>120</v>
      </c>
      <c r="D41">
        <v>10</v>
      </c>
    </row>
    <row r="42" spans="1:4" x14ac:dyDescent="0.45">
      <c r="A42" t="s">
        <v>6</v>
      </c>
      <c r="B42" s="4" t="s">
        <v>121</v>
      </c>
      <c r="C42" t="s">
        <v>122</v>
      </c>
      <c r="D42">
        <v>5</v>
      </c>
    </row>
    <row r="43" spans="1:4" x14ac:dyDescent="0.45">
      <c r="A43" t="s">
        <v>6</v>
      </c>
      <c r="B43" s="4" t="s">
        <v>123</v>
      </c>
      <c r="C43" t="s">
        <v>124</v>
      </c>
      <c r="D43">
        <v>10</v>
      </c>
    </row>
    <row r="44" spans="1:4" x14ac:dyDescent="0.45">
      <c r="A44" t="s">
        <v>6</v>
      </c>
      <c r="B44" s="4" t="s">
        <v>125</v>
      </c>
      <c r="C44" t="s">
        <v>126</v>
      </c>
      <c r="D44">
        <v>5</v>
      </c>
    </row>
    <row r="45" spans="1:4" x14ac:dyDescent="0.45">
      <c r="A45" t="s">
        <v>6</v>
      </c>
      <c r="B45" s="4" t="s">
        <v>127</v>
      </c>
      <c r="C45" t="s">
        <v>128</v>
      </c>
      <c r="D45">
        <v>5</v>
      </c>
    </row>
    <row r="46" spans="1:4" x14ac:dyDescent="0.45">
      <c r="A46" t="s">
        <v>6</v>
      </c>
      <c r="B46" s="4" t="s">
        <v>129</v>
      </c>
      <c r="C46" t="s">
        <v>130</v>
      </c>
      <c r="D46">
        <v>20</v>
      </c>
    </row>
    <row r="47" spans="1:4" x14ac:dyDescent="0.45">
      <c r="A47" t="s">
        <v>6</v>
      </c>
      <c r="B47" s="4" t="s">
        <v>131</v>
      </c>
      <c r="C47" t="s">
        <v>132</v>
      </c>
      <c r="D47">
        <v>10</v>
      </c>
    </row>
    <row r="48" spans="1:4" x14ac:dyDescent="0.45">
      <c r="A48" t="s">
        <v>6</v>
      </c>
      <c r="B48" s="4" t="s">
        <v>133</v>
      </c>
      <c r="C48" t="s">
        <v>134</v>
      </c>
      <c r="D48">
        <v>10</v>
      </c>
    </row>
    <row r="49" spans="1:4" x14ac:dyDescent="0.45">
      <c r="A49" t="s">
        <v>6</v>
      </c>
      <c r="B49" s="4" t="s">
        <v>135</v>
      </c>
      <c r="C49" t="s">
        <v>136</v>
      </c>
      <c r="D49">
        <v>10</v>
      </c>
    </row>
    <row r="50" spans="1:4" x14ac:dyDescent="0.45">
      <c r="A50" t="s">
        <v>6</v>
      </c>
      <c r="B50" s="4" t="s">
        <v>137</v>
      </c>
      <c r="C50" t="s">
        <v>138</v>
      </c>
      <c r="D50">
        <v>10</v>
      </c>
    </row>
    <row r="51" spans="1:4" x14ac:dyDescent="0.45">
      <c r="A51" t="s">
        <v>139</v>
      </c>
      <c r="B51" s="4" t="s">
        <v>140</v>
      </c>
      <c r="C51" t="s">
        <v>140</v>
      </c>
      <c r="D51">
        <v>5</v>
      </c>
    </row>
    <row r="52" spans="1:4" x14ac:dyDescent="0.45">
      <c r="A52" t="s">
        <v>6</v>
      </c>
      <c r="B52" s="4" t="s">
        <v>18</v>
      </c>
      <c r="C52" t="s">
        <v>25</v>
      </c>
      <c r="D52">
        <v>20</v>
      </c>
    </row>
    <row r="53" spans="1:4" x14ac:dyDescent="0.45">
      <c r="A53" t="s">
        <v>6</v>
      </c>
      <c r="B53" s="4" t="s">
        <v>141</v>
      </c>
      <c r="C53" t="s">
        <v>142</v>
      </c>
      <c r="D53">
        <v>45</v>
      </c>
    </row>
    <row r="54" spans="1:4" x14ac:dyDescent="0.45">
      <c r="A54" t="s">
        <v>6</v>
      </c>
      <c r="B54" s="4" t="s">
        <v>143</v>
      </c>
      <c r="C54" t="s">
        <v>144</v>
      </c>
      <c r="D54">
        <v>30</v>
      </c>
    </row>
    <row r="55" spans="1:4" x14ac:dyDescent="0.45">
      <c r="A55" t="s">
        <v>6</v>
      </c>
      <c r="B55" s="4" t="s">
        <v>145</v>
      </c>
      <c r="C55" t="s">
        <v>146</v>
      </c>
      <c r="D55">
        <v>15</v>
      </c>
    </row>
    <row r="56" spans="1:4" x14ac:dyDescent="0.45">
      <c r="A56" t="s">
        <v>6</v>
      </c>
      <c r="B56" s="4" t="s">
        <v>147</v>
      </c>
      <c r="C56" t="s">
        <v>148</v>
      </c>
      <c r="D56">
        <v>15</v>
      </c>
    </row>
    <row r="57" spans="1:4" x14ac:dyDescent="0.45">
      <c r="A57" t="s">
        <v>6</v>
      </c>
      <c r="B57" s="4" t="s">
        <v>149</v>
      </c>
      <c r="C57" t="s">
        <v>150</v>
      </c>
      <c r="D57">
        <v>15</v>
      </c>
    </row>
    <row r="58" spans="1:4" x14ac:dyDescent="0.45">
      <c r="A58" t="s">
        <v>6</v>
      </c>
      <c r="B58" s="4" t="s">
        <v>151</v>
      </c>
      <c r="C58" t="s">
        <v>152</v>
      </c>
      <c r="D58">
        <v>60</v>
      </c>
    </row>
    <row r="59" spans="1:4" x14ac:dyDescent="0.45">
      <c r="A59" t="s">
        <v>6</v>
      </c>
      <c r="B59" s="4" t="s">
        <v>153</v>
      </c>
      <c r="C59" t="s">
        <v>154</v>
      </c>
      <c r="D59">
        <v>15</v>
      </c>
    </row>
    <row r="60" spans="1:4" x14ac:dyDescent="0.45">
      <c r="A60" t="s">
        <v>6</v>
      </c>
      <c r="B60" s="4" t="s">
        <v>155</v>
      </c>
      <c r="C60" t="s">
        <v>156</v>
      </c>
      <c r="D60">
        <v>15</v>
      </c>
    </row>
    <row r="61" spans="1:4" x14ac:dyDescent="0.45">
      <c r="A61" t="s">
        <v>6</v>
      </c>
      <c r="B61" s="4" t="s">
        <v>157</v>
      </c>
      <c r="C61" t="s">
        <v>158</v>
      </c>
      <c r="D61">
        <v>15</v>
      </c>
    </row>
    <row r="62" spans="1:4" x14ac:dyDescent="0.45">
      <c r="A62" t="s">
        <v>6</v>
      </c>
      <c r="B62" s="4" t="s">
        <v>159</v>
      </c>
      <c r="C62" t="s">
        <v>160</v>
      </c>
      <c r="D62">
        <v>120</v>
      </c>
    </row>
    <row r="63" spans="1:4" x14ac:dyDescent="0.45">
      <c r="A63" t="s">
        <v>6</v>
      </c>
      <c r="B63" s="4" t="s">
        <v>54</v>
      </c>
      <c r="C63" t="s">
        <v>53</v>
      </c>
      <c r="D63">
        <v>20</v>
      </c>
    </row>
    <row r="64" spans="1:4" x14ac:dyDescent="0.45">
      <c r="A64" t="s">
        <v>6</v>
      </c>
      <c r="B64" s="4" t="s">
        <v>20</v>
      </c>
      <c r="C64" t="s">
        <v>21</v>
      </c>
      <c r="D64">
        <v>10</v>
      </c>
    </row>
    <row r="65" spans="1:4" x14ac:dyDescent="0.45">
      <c r="A65" t="s">
        <v>6</v>
      </c>
      <c r="B65" s="4" t="s">
        <v>39</v>
      </c>
      <c r="C65" t="s">
        <v>38</v>
      </c>
      <c r="D65">
        <v>10</v>
      </c>
    </row>
    <row r="66" spans="1:4" x14ac:dyDescent="0.45">
      <c r="A66" t="s">
        <v>6</v>
      </c>
      <c r="B66" s="4" t="s">
        <v>22</v>
      </c>
      <c r="C66" t="s">
        <v>23</v>
      </c>
      <c r="D66">
        <v>10</v>
      </c>
    </row>
    <row r="67" spans="1:4" x14ac:dyDescent="0.45">
      <c r="A67" t="s">
        <v>6</v>
      </c>
      <c r="B67" s="4" t="s">
        <v>42</v>
      </c>
      <c r="C67" t="s">
        <v>43</v>
      </c>
      <c r="D67">
        <v>5</v>
      </c>
    </row>
    <row r="68" spans="1:4" x14ac:dyDescent="0.45">
      <c r="A68" t="s">
        <v>6</v>
      </c>
      <c r="B68" s="4" t="s">
        <v>27</v>
      </c>
      <c r="C68" t="s">
        <v>44</v>
      </c>
      <c r="D68">
        <v>5</v>
      </c>
    </row>
    <row r="69" spans="1:4" x14ac:dyDescent="0.45">
      <c r="A69" t="s">
        <v>6</v>
      </c>
      <c r="B69" s="4" t="s">
        <v>28</v>
      </c>
      <c r="C69" t="s">
        <v>45</v>
      </c>
      <c r="D69">
        <v>5</v>
      </c>
    </row>
    <row r="70" spans="1:4" x14ac:dyDescent="0.45">
      <c r="A70" t="s">
        <v>6</v>
      </c>
      <c r="B70" s="4" t="s">
        <v>17</v>
      </c>
      <c r="C70" t="s">
        <v>24</v>
      </c>
      <c r="D70">
        <v>5</v>
      </c>
    </row>
    <row r="71" spans="1:4" x14ac:dyDescent="0.45">
      <c r="A71" t="s">
        <v>6</v>
      </c>
      <c r="B71" s="4" t="s">
        <v>29</v>
      </c>
      <c r="C71" t="s">
        <v>48</v>
      </c>
      <c r="D71">
        <v>5</v>
      </c>
    </row>
    <row r="72" spans="1:4" x14ac:dyDescent="0.45">
      <c r="A72" t="s">
        <v>6</v>
      </c>
      <c r="B72" s="4" t="s">
        <v>49</v>
      </c>
      <c r="C72" t="s">
        <v>50</v>
      </c>
      <c r="D72">
        <v>10</v>
      </c>
    </row>
    <row r="73" spans="1:4" x14ac:dyDescent="0.45">
      <c r="A73" t="s">
        <v>6</v>
      </c>
      <c r="B73" s="4" t="s">
        <v>15</v>
      </c>
      <c r="C73" t="s">
        <v>16</v>
      </c>
      <c r="D73">
        <v>10</v>
      </c>
    </row>
    <row r="74" spans="1:4" x14ac:dyDescent="0.45">
      <c r="A74" t="s">
        <v>6</v>
      </c>
      <c r="B74" s="4" t="s">
        <v>19</v>
      </c>
      <c r="C74" t="s">
        <v>26</v>
      </c>
      <c r="D74">
        <v>5</v>
      </c>
    </row>
    <row r="75" spans="1:4" x14ac:dyDescent="0.45">
      <c r="A75" t="s">
        <v>6</v>
      </c>
      <c r="B75" s="4" t="s">
        <v>62</v>
      </c>
      <c r="C75" t="s">
        <v>61</v>
      </c>
      <c r="D75">
        <v>5</v>
      </c>
    </row>
    <row r="76" spans="1:4" x14ac:dyDescent="0.45">
      <c r="A76" t="s">
        <v>6</v>
      </c>
      <c r="B76" s="4" t="s">
        <v>60</v>
      </c>
      <c r="C76" t="s">
        <v>59</v>
      </c>
      <c r="D76">
        <v>5</v>
      </c>
    </row>
    <row r="77" spans="1:4" x14ac:dyDescent="0.45">
      <c r="A77" t="s">
        <v>6</v>
      </c>
      <c r="B77" s="4" t="s">
        <v>58</v>
      </c>
      <c r="C77" t="s">
        <v>57</v>
      </c>
      <c r="D77">
        <v>5</v>
      </c>
    </row>
    <row r="78" spans="1:4" x14ac:dyDescent="0.45">
      <c r="A78" t="s">
        <v>6</v>
      </c>
      <c r="B78" s="4" t="s">
        <v>56</v>
      </c>
      <c r="C78" t="s">
        <v>55</v>
      </c>
      <c r="D78">
        <v>10</v>
      </c>
    </row>
    <row r="79" spans="1:4" x14ac:dyDescent="0.45">
      <c r="A79" t="s">
        <v>6</v>
      </c>
      <c r="B79" s="4" t="s">
        <v>52</v>
      </c>
      <c r="C79" t="s">
        <v>51</v>
      </c>
      <c r="D79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45B1-1243-4106-ADB9-CD41C5FB9716}">
  <dimension ref="A1:B7"/>
  <sheetViews>
    <sheetView workbookViewId="0">
      <selection activeCell="D6" sqref="D6"/>
    </sheetView>
  </sheetViews>
  <sheetFormatPr defaultRowHeight="14.25" x14ac:dyDescent="0.45"/>
  <cols>
    <col min="1" max="1" width="13.33203125" bestFit="1" customWidth="1"/>
    <col min="2" max="2" width="12.46484375" customWidth="1"/>
  </cols>
  <sheetData>
    <row r="1" spans="1:2" x14ac:dyDescent="0.45">
      <c r="A1" t="s">
        <v>161</v>
      </c>
      <c r="B1" t="s">
        <v>169</v>
      </c>
    </row>
    <row r="2" spans="1:2" x14ac:dyDescent="0.45">
      <c r="A2" t="s">
        <v>162</v>
      </c>
      <c r="B2">
        <v>5</v>
      </c>
    </row>
    <row r="3" spans="1:2" x14ac:dyDescent="0.45">
      <c r="A3" t="s">
        <v>163</v>
      </c>
      <c r="B3">
        <v>5</v>
      </c>
    </row>
    <row r="4" spans="1:2" x14ac:dyDescent="0.45">
      <c r="A4" t="s">
        <v>164</v>
      </c>
      <c r="B4">
        <v>5</v>
      </c>
    </row>
    <row r="5" spans="1:2" x14ac:dyDescent="0.45">
      <c r="A5" t="s">
        <v>165</v>
      </c>
      <c r="B5">
        <v>15</v>
      </c>
    </row>
    <row r="6" spans="1:2" x14ac:dyDescent="0.45">
      <c r="A6" t="s">
        <v>166</v>
      </c>
      <c r="B6">
        <v>5</v>
      </c>
    </row>
    <row r="7" spans="1:2" x14ac:dyDescent="0.45">
      <c r="A7" t="s">
        <v>167</v>
      </c>
      <c r="B7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B99E-90A4-48F2-94D6-5AC57EAF75E8}">
  <dimension ref="A1:G20"/>
  <sheetViews>
    <sheetView zoomScale="115" zoomScaleNormal="115" workbookViewId="0">
      <selection activeCell="C6" sqref="C6"/>
    </sheetView>
  </sheetViews>
  <sheetFormatPr defaultRowHeight="14.25" x14ac:dyDescent="0.45"/>
  <cols>
    <col min="1" max="1" width="11.19921875" customWidth="1"/>
    <col min="2" max="2" width="20.796875" style="4" bestFit="1" customWidth="1"/>
    <col min="3" max="3" width="35.53125" bestFit="1" customWidth="1"/>
    <col min="4" max="4" width="17.53125" customWidth="1"/>
    <col min="5" max="5" width="16.46484375" customWidth="1"/>
    <col min="6" max="6" width="9" style="3" bestFit="1" customWidth="1"/>
    <col min="7" max="7" width="9.06640625" style="1"/>
  </cols>
  <sheetData>
    <row r="1" spans="1:5" x14ac:dyDescent="0.45">
      <c r="A1" t="s">
        <v>1</v>
      </c>
      <c r="B1" s="4" t="s">
        <v>0</v>
      </c>
      <c r="C1" t="s">
        <v>2</v>
      </c>
      <c r="D1" t="s">
        <v>5</v>
      </c>
      <c r="E1" t="s">
        <v>168</v>
      </c>
    </row>
    <row r="2" spans="1:5" x14ac:dyDescent="0.45">
      <c r="A2" t="s">
        <v>6</v>
      </c>
      <c r="B2" s="4" t="s">
        <v>3</v>
      </c>
      <c r="C2" t="s">
        <v>4</v>
      </c>
      <c r="D2">
        <v>9</v>
      </c>
      <c r="E2">
        <f>tbl_FlightController[[#This Row],[Quantity Per Board]] * _xlfn.XLOOKUP("FlightController", tbl_Config[Board Name], tbl_Config[Multiplier])</f>
        <v>45</v>
      </c>
    </row>
    <row r="3" spans="1:5" x14ac:dyDescent="0.45">
      <c r="A3" t="s">
        <v>6</v>
      </c>
      <c r="B3" s="4" t="s">
        <v>30</v>
      </c>
      <c r="C3" t="s">
        <v>31</v>
      </c>
      <c r="D3">
        <v>2</v>
      </c>
      <c r="E3">
        <f>tbl_FlightController[[#This Row],[Quantity Per Board]] * _xlfn.XLOOKUP("FlightController", tbl_Config[Board Name], tbl_Config[Multiplier])</f>
        <v>10</v>
      </c>
    </row>
    <row r="4" spans="1:5" x14ac:dyDescent="0.45">
      <c r="A4" t="s">
        <v>6</v>
      </c>
      <c r="B4" s="4" t="s">
        <v>84</v>
      </c>
      <c r="C4" s="2" t="s">
        <v>83</v>
      </c>
      <c r="D4">
        <v>1</v>
      </c>
      <c r="E4">
        <f>tbl_FlightController[[#This Row],[Quantity Per Board]] * _xlfn.XLOOKUP("FlightController", tbl_Config[Board Name], tbl_Config[Multiplier])</f>
        <v>5</v>
      </c>
    </row>
    <row r="5" spans="1:5" x14ac:dyDescent="0.45">
      <c r="A5" t="s">
        <v>6</v>
      </c>
      <c r="B5" s="4" t="s">
        <v>82</v>
      </c>
      <c r="C5" t="s">
        <v>81</v>
      </c>
      <c r="D5">
        <v>2</v>
      </c>
      <c r="E5">
        <f>tbl_FlightController[[#This Row],[Quantity Per Board]] * _xlfn.XLOOKUP("FlightController", tbl_Config[Board Name], tbl_Config[Multiplier])</f>
        <v>10</v>
      </c>
    </row>
    <row r="6" spans="1:5" x14ac:dyDescent="0.45">
      <c r="A6" t="s">
        <v>6</v>
      </c>
      <c r="B6" s="4" t="s">
        <v>32</v>
      </c>
      <c r="C6" t="s">
        <v>33</v>
      </c>
      <c r="D6">
        <v>1</v>
      </c>
      <c r="E6">
        <f>tbl_FlightController[[#This Row],[Quantity Per Board]] * _xlfn.XLOOKUP("FlightController", tbl_Config[Board Name], tbl_Config[Multiplier])</f>
        <v>5</v>
      </c>
    </row>
    <row r="7" spans="1:5" x14ac:dyDescent="0.45">
      <c r="A7" t="s">
        <v>6</v>
      </c>
      <c r="B7" s="4" t="s">
        <v>80</v>
      </c>
      <c r="C7" t="s">
        <v>79</v>
      </c>
      <c r="D7">
        <v>4</v>
      </c>
      <c r="E7">
        <f>tbl_FlightController[[#This Row],[Quantity Per Board]] * _xlfn.XLOOKUP("FlightController", tbl_Config[Board Name], tbl_Config[Multiplier])</f>
        <v>20</v>
      </c>
    </row>
    <row r="8" spans="1:5" x14ac:dyDescent="0.45">
      <c r="A8" t="s">
        <v>6</v>
      </c>
      <c r="B8" s="4" t="s">
        <v>78</v>
      </c>
      <c r="C8" t="s">
        <v>77</v>
      </c>
      <c r="D8">
        <v>2</v>
      </c>
      <c r="E8">
        <f>tbl_FlightController[[#This Row],[Quantity Per Board]] * _xlfn.XLOOKUP("FlightController", tbl_Config[Board Name], tbl_Config[Multiplier])</f>
        <v>10</v>
      </c>
    </row>
    <row r="9" spans="1:5" x14ac:dyDescent="0.45">
      <c r="A9" t="s">
        <v>6</v>
      </c>
      <c r="B9" s="4" t="s">
        <v>40</v>
      </c>
      <c r="C9" t="s">
        <v>41</v>
      </c>
      <c r="D9">
        <v>1</v>
      </c>
      <c r="E9">
        <f>tbl_FlightController[[#This Row],[Quantity Per Board]] * _xlfn.XLOOKUP("FlightController", tbl_Config[Board Name], tbl_Config[Multiplier])</f>
        <v>5</v>
      </c>
    </row>
    <row r="10" spans="1:5" x14ac:dyDescent="0.45">
      <c r="A10" t="s">
        <v>6</v>
      </c>
      <c r="B10" s="4" t="s">
        <v>76</v>
      </c>
      <c r="C10" t="s">
        <v>75</v>
      </c>
      <c r="D10">
        <v>2</v>
      </c>
      <c r="E10">
        <f>tbl_FlightController[[#This Row],[Quantity Per Board]] * _xlfn.XLOOKUP("FlightController", tbl_Config[Board Name], tbl_Config[Multiplier])</f>
        <v>10</v>
      </c>
    </row>
    <row r="11" spans="1:5" x14ac:dyDescent="0.45">
      <c r="A11" t="s">
        <v>6</v>
      </c>
      <c r="B11" s="4" t="s">
        <v>7</v>
      </c>
      <c r="C11" t="s">
        <v>8</v>
      </c>
      <c r="D11">
        <v>2</v>
      </c>
      <c r="E11">
        <f>tbl_FlightController[[#This Row],[Quantity Per Board]] * _xlfn.XLOOKUP("FlightController", tbl_Config[Board Name], tbl_Config[Multiplier])</f>
        <v>10</v>
      </c>
    </row>
    <row r="12" spans="1:5" x14ac:dyDescent="0.45">
      <c r="A12" t="s">
        <v>6</v>
      </c>
      <c r="B12" s="4" t="s">
        <v>9</v>
      </c>
      <c r="C12" t="s">
        <v>10</v>
      </c>
      <c r="D12">
        <v>1</v>
      </c>
      <c r="E12">
        <f>tbl_FlightController[[#This Row],[Quantity Per Board]] * _xlfn.XLOOKUP("FlightController", tbl_Config[Board Name], tbl_Config[Multiplier])</f>
        <v>5</v>
      </c>
    </row>
    <row r="13" spans="1:5" x14ac:dyDescent="0.45">
      <c r="A13" t="s">
        <v>6</v>
      </c>
      <c r="B13" s="4" t="s">
        <v>74</v>
      </c>
      <c r="C13" t="s">
        <v>73</v>
      </c>
      <c r="D13">
        <v>1</v>
      </c>
      <c r="E13">
        <f>tbl_FlightController[[#This Row],[Quantity Per Board]] * _xlfn.XLOOKUP("FlightController", tbl_Config[Board Name], tbl_Config[Multiplier])</f>
        <v>5</v>
      </c>
    </row>
    <row r="14" spans="1:5" x14ac:dyDescent="0.45">
      <c r="A14" t="s">
        <v>6</v>
      </c>
      <c r="B14" s="4" t="s">
        <v>72</v>
      </c>
      <c r="C14" t="s">
        <v>71</v>
      </c>
      <c r="D14">
        <v>1</v>
      </c>
      <c r="E14">
        <f>tbl_FlightController[[#This Row],[Quantity Per Board]] * _xlfn.XLOOKUP("FlightController", tbl_Config[Board Name], tbl_Config[Multiplier])</f>
        <v>5</v>
      </c>
    </row>
    <row r="15" spans="1:5" x14ac:dyDescent="0.45">
      <c r="A15" t="s">
        <v>6</v>
      </c>
      <c r="B15" s="4" t="s">
        <v>11</v>
      </c>
      <c r="C15" t="s">
        <v>12</v>
      </c>
      <c r="D15">
        <v>1</v>
      </c>
      <c r="E15">
        <f>tbl_FlightController[[#This Row],[Quantity Per Board]] * _xlfn.XLOOKUP("FlightController", tbl_Config[Board Name], tbl_Config[Multiplier])</f>
        <v>5</v>
      </c>
    </row>
    <row r="16" spans="1:5" x14ac:dyDescent="0.45">
      <c r="A16" t="s">
        <v>6</v>
      </c>
      <c r="B16" s="4" t="s">
        <v>46</v>
      </c>
      <c r="C16" t="s">
        <v>47</v>
      </c>
      <c r="D16">
        <v>2</v>
      </c>
      <c r="E16">
        <f>tbl_FlightController[[#This Row],[Quantity Per Board]] * _xlfn.XLOOKUP("FlightController", tbl_Config[Board Name], tbl_Config[Multiplier])</f>
        <v>10</v>
      </c>
    </row>
    <row r="17" spans="1:5" x14ac:dyDescent="0.45">
      <c r="A17" t="s">
        <v>6</v>
      </c>
      <c r="B17" s="4" t="s">
        <v>13</v>
      </c>
      <c r="C17" t="s">
        <v>14</v>
      </c>
      <c r="D17">
        <v>2</v>
      </c>
      <c r="E17">
        <f>tbl_FlightController[[#This Row],[Quantity Per Board]] * _xlfn.XLOOKUP("FlightController", tbl_Config[Board Name], tbl_Config[Multiplier])</f>
        <v>10</v>
      </c>
    </row>
    <row r="18" spans="1:5" x14ac:dyDescent="0.45">
      <c r="A18" t="s">
        <v>6</v>
      </c>
      <c r="B18" s="4" t="s">
        <v>70</v>
      </c>
      <c r="C18" t="s">
        <v>69</v>
      </c>
      <c r="D18">
        <v>1</v>
      </c>
      <c r="E18">
        <f>tbl_FlightController[[#This Row],[Quantity Per Board]] * _xlfn.XLOOKUP("FlightController", tbl_Config[Board Name], tbl_Config[Multiplier])</f>
        <v>5</v>
      </c>
    </row>
    <row r="19" spans="1:5" x14ac:dyDescent="0.45">
      <c r="A19" t="s">
        <v>6</v>
      </c>
      <c r="B19" s="4" t="s">
        <v>68</v>
      </c>
      <c r="C19" t="s">
        <v>67</v>
      </c>
      <c r="D19">
        <v>1</v>
      </c>
      <c r="E19">
        <f>tbl_FlightController[[#This Row],[Quantity Per Board]] * _xlfn.XLOOKUP("FlightController", tbl_Config[Board Name], tbl_Config[Multiplier])</f>
        <v>5</v>
      </c>
    </row>
    <row r="20" spans="1:5" x14ac:dyDescent="0.45">
      <c r="A20" t="s">
        <v>6</v>
      </c>
      <c r="B20" s="4" t="s">
        <v>66</v>
      </c>
      <c r="C20" t="s">
        <v>65</v>
      </c>
      <c r="D20">
        <v>1</v>
      </c>
      <c r="E20">
        <f>tbl_FlightController[[#This Row],[Quantity Per Board]] * _xlfn.XLOOKUP("FlightController", tbl_Config[Board Name], tbl_Config[Multiplier])</f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12CD-D23F-4B29-A80E-3D79AD5E66F1}">
  <dimension ref="A1:E38"/>
  <sheetViews>
    <sheetView zoomScale="130" zoomScaleNormal="130" workbookViewId="0">
      <selection activeCell="E7" sqref="E7"/>
    </sheetView>
  </sheetViews>
  <sheetFormatPr defaultRowHeight="14.25" x14ac:dyDescent="0.45"/>
  <cols>
    <col min="1" max="1" width="10.796875" customWidth="1"/>
    <col min="2" max="2" width="20.796875" style="4" bestFit="1" customWidth="1"/>
    <col min="3" max="3" width="35.53125" bestFit="1" customWidth="1"/>
    <col min="4" max="4" width="17.1328125" customWidth="1"/>
  </cols>
  <sheetData>
    <row r="1" spans="1:5" x14ac:dyDescent="0.45">
      <c r="A1" t="s">
        <v>1</v>
      </c>
      <c r="B1" s="4" t="s">
        <v>0</v>
      </c>
      <c r="C1" t="s">
        <v>2</v>
      </c>
      <c r="D1" t="s">
        <v>5</v>
      </c>
      <c r="E1" t="s">
        <v>168</v>
      </c>
    </row>
    <row r="2" spans="1:5" x14ac:dyDescent="0.45">
      <c r="A2" t="s">
        <v>6</v>
      </c>
      <c r="B2" s="4" t="s">
        <v>3</v>
      </c>
      <c r="C2" t="s">
        <v>4</v>
      </c>
      <c r="D2">
        <v>7</v>
      </c>
      <c r="E2">
        <f>tbl_BatteryBoard[[#This Row],[Quantity Per Board]] * _xlfn.XLOOKUP("BatteryBoard", tbl_Config[Board Name], tbl_Config[Multiplier])</f>
        <v>35</v>
      </c>
    </row>
    <row r="3" spans="1:5" x14ac:dyDescent="0.45">
      <c r="A3" t="s">
        <v>6</v>
      </c>
      <c r="B3" s="4" t="s">
        <v>30</v>
      </c>
      <c r="C3" t="s">
        <v>31</v>
      </c>
      <c r="D3">
        <v>1</v>
      </c>
      <c r="E3">
        <f>tbl_BatteryBoard[[#This Row],[Quantity Per Board]] * _xlfn.XLOOKUP("BatteryBoard", tbl_Config[Board Name], tbl_Config[Multiplier])</f>
        <v>5</v>
      </c>
    </row>
    <row r="4" spans="1:5" x14ac:dyDescent="0.45">
      <c r="A4" t="s">
        <v>6</v>
      </c>
      <c r="B4" s="4" t="s">
        <v>36</v>
      </c>
      <c r="C4" t="s">
        <v>37</v>
      </c>
      <c r="D4">
        <v>9</v>
      </c>
      <c r="E4">
        <f>tbl_BatteryBoard[[#This Row],[Quantity Per Board]] * _xlfn.XLOOKUP("BatteryBoard", tbl_Config[Board Name], tbl_Config[Multiplier])</f>
        <v>45</v>
      </c>
    </row>
    <row r="5" spans="1:5" x14ac:dyDescent="0.45">
      <c r="A5" t="s">
        <v>6</v>
      </c>
      <c r="B5" s="4" t="s">
        <v>84</v>
      </c>
      <c r="C5" s="2" t="s">
        <v>83</v>
      </c>
      <c r="D5">
        <v>2</v>
      </c>
      <c r="E5">
        <f>tbl_BatteryBoard[[#This Row],[Quantity Per Board]] * _xlfn.XLOOKUP("BatteryBoard", tbl_Config[Board Name], tbl_Config[Multiplier])</f>
        <v>10</v>
      </c>
    </row>
    <row r="6" spans="1:5" x14ac:dyDescent="0.45">
      <c r="A6" t="s">
        <v>6</v>
      </c>
      <c r="B6" s="4" t="s">
        <v>82</v>
      </c>
      <c r="C6" t="s">
        <v>81</v>
      </c>
      <c r="D6">
        <v>2</v>
      </c>
      <c r="E6">
        <f>tbl_BatteryBoard[[#This Row],[Quantity Per Board]] * _xlfn.XLOOKUP("BatteryBoard", tbl_Config[Board Name], tbl_Config[Multiplier])</f>
        <v>10</v>
      </c>
    </row>
    <row r="7" spans="1:5" x14ac:dyDescent="0.45">
      <c r="A7" t="s">
        <v>6</v>
      </c>
      <c r="B7" s="4" t="s">
        <v>32</v>
      </c>
      <c r="C7" t="s">
        <v>33</v>
      </c>
      <c r="D7">
        <v>8</v>
      </c>
      <c r="E7">
        <f>tbl_BatteryBoard[[#This Row],[Quantity Per Board]] * _xlfn.XLOOKUP("BatteryBoard", tbl_Config[Board Name], tbl_Config[Multiplier])</f>
        <v>40</v>
      </c>
    </row>
    <row r="8" spans="1:5" x14ac:dyDescent="0.45">
      <c r="A8" t="s">
        <v>6</v>
      </c>
      <c r="B8" s="4" t="s">
        <v>64</v>
      </c>
      <c r="C8" t="s">
        <v>63</v>
      </c>
      <c r="D8">
        <v>2</v>
      </c>
      <c r="E8">
        <f>tbl_BatteryBoard[[#This Row],[Quantity Per Board]] * _xlfn.XLOOKUP("BatteryBoard", tbl_Config[Board Name], tbl_Config[Multiplier])</f>
        <v>10</v>
      </c>
    </row>
    <row r="9" spans="1:5" x14ac:dyDescent="0.45">
      <c r="A9" t="s">
        <v>6</v>
      </c>
      <c r="B9" s="4" t="s">
        <v>34</v>
      </c>
      <c r="C9" s="2" t="s">
        <v>35</v>
      </c>
      <c r="D9">
        <v>2</v>
      </c>
      <c r="E9">
        <f>tbl_BatteryBoard[[#This Row],[Quantity Per Board]] * _xlfn.XLOOKUP("BatteryBoard", tbl_Config[Board Name], tbl_Config[Multiplier])</f>
        <v>10</v>
      </c>
    </row>
    <row r="10" spans="1:5" x14ac:dyDescent="0.45">
      <c r="A10" t="s">
        <v>6</v>
      </c>
      <c r="B10" s="4" t="s">
        <v>78</v>
      </c>
      <c r="C10" t="s">
        <v>77</v>
      </c>
      <c r="D10">
        <v>2</v>
      </c>
      <c r="E10">
        <f>tbl_BatteryBoard[[#This Row],[Quantity Per Board]] * _xlfn.XLOOKUP("BatteryBoard", tbl_Config[Board Name], tbl_Config[Multiplier])</f>
        <v>10</v>
      </c>
    </row>
    <row r="11" spans="1:5" x14ac:dyDescent="0.45">
      <c r="A11" t="s">
        <v>6</v>
      </c>
      <c r="B11" s="4" t="s">
        <v>85</v>
      </c>
      <c r="C11" t="s">
        <v>86</v>
      </c>
      <c r="D11">
        <v>5</v>
      </c>
      <c r="E11">
        <f>tbl_BatteryBoard[[#This Row],[Quantity Per Board]] * _xlfn.XLOOKUP("BatteryBoard", tbl_Config[Board Name], tbl_Config[Multiplier])</f>
        <v>25</v>
      </c>
    </row>
    <row r="12" spans="1:5" x14ac:dyDescent="0.45">
      <c r="A12" t="s">
        <v>6</v>
      </c>
      <c r="B12" s="4" t="s">
        <v>87</v>
      </c>
      <c r="C12" t="s">
        <v>88</v>
      </c>
      <c r="D12">
        <v>3</v>
      </c>
      <c r="E12">
        <f>tbl_BatteryBoard[[#This Row],[Quantity Per Board]] * _xlfn.XLOOKUP("BatteryBoard", tbl_Config[Board Name], tbl_Config[Multiplier])</f>
        <v>15</v>
      </c>
    </row>
    <row r="13" spans="1:5" x14ac:dyDescent="0.45">
      <c r="A13" t="s">
        <v>6</v>
      </c>
      <c r="B13" s="4" t="s">
        <v>7</v>
      </c>
      <c r="C13" t="s">
        <v>8</v>
      </c>
      <c r="D13">
        <v>5</v>
      </c>
      <c r="E13">
        <f>tbl_BatteryBoard[[#This Row],[Quantity Per Board]] * _xlfn.XLOOKUP("BatteryBoard", tbl_Config[Board Name], tbl_Config[Multiplier])</f>
        <v>25</v>
      </c>
    </row>
    <row r="14" spans="1:5" x14ac:dyDescent="0.45">
      <c r="A14" t="s">
        <v>6</v>
      </c>
      <c r="B14" s="4" t="s">
        <v>89</v>
      </c>
      <c r="C14" t="s">
        <v>90</v>
      </c>
      <c r="D14">
        <v>2</v>
      </c>
      <c r="E14">
        <f>tbl_BatteryBoard[[#This Row],[Quantity Per Board]] * _xlfn.XLOOKUP("BatteryBoard", tbl_Config[Board Name], tbl_Config[Multiplier])</f>
        <v>10</v>
      </c>
    </row>
    <row r="15" spans="1:5" x14ac:dyDescent="0.45">
      <c r="A15" t="s">
        <v>6</v>
      </c>
      <c r="B15" s="4" t="s">
        <v>91</v>
      </c>
      <c r="C15" t="s">
        <v>92</v>
      </c>
      <c r="D15">
        <v>3</v>
      </c>
      <c r="E15">
        <f>tbl_BatteryBoard[[#This Row],[Quantity Per Board]] * _xlfn.XLOOKUP("BatteryBoard", tbl_Config[Board Name], tbl_Config[Multiplier])</f>
        <v>15</v>
      </c>
    </row>
    <row r="16" spans="1:5" x14ac:dyDescent="0.45">
      <c r="A16" t="s">
        <v>6</v>
      </c>
      <c r="B16" s="4" t="s">
        <v>93</v>
      </c>
      <c r="C16" t="s">
        <v>94</v>
      </c>
      <c r="D16">
        <v>2</v>
      </c>
      <c r="E16">
        <f>tbl_BatteryBoard[[#This Row],[Quantity Per Board]] * _xlfn.XLOOKUP("BatteryBoard", tbl_Config[Board Name], tbl_Config[Multiplier])</f>
        <v>10</v>
      </c>
    </row>
    <row r="17" spans="1:5" x14ac:dyDescent="0.45">
      <c r="A17" t="s">
        <v>6</v>
      </c>
      <c r="B17" s="4" t="s">
        <v>95</v>
      </c>
      <c r="C17" t="s">
        <v>96</v>
      </c>
      <c r="D17">
        <v>2</v>
      </c>
      <c r="E17">
        <f>tbl_BatteryBoard[[#This Row],[Quantity Per Board]] * _xlfn.XLOOKUP("BatteryBoard", tbl_Config[Board Name], tbl_Config[Multiplier])</f>
        <v>10</v>
      </c>
    </row>
    <row r="18" spans="1:5" x14ac:dyDescent="0.45">
      <c r="A18" t="s">
        <v>6</v>
      </c>
      <c r="B18" s="4" t="s">
        <v>97</v>
      </c>
      <c r="C18" t="s">
        <v>98</v>
      </c>
      <c r="D18">
        <v>1</v>
      </c>
      <c r="E18">
        <f>tbl_BatteryBoard[[#This Row],[Quantity Per Board]] * _xlfn.XLOOKUP("BatteryBoard", tbl_Config[Board Name], tbl_Config[Multiplier])</f>
        <v>5</v>
      </c>
    </row>
    <row r="19" spans="1:5" x14ac:dyDescent="0.45">
      <c r="A19" t="s">
        <v>6</v>
      </c>
      <c r="B19" s="4" t="s">
        <v>99</v>
      </c>
      <c r="C19" t="s">
        <v>100</v>
      </c>
      <c r="D19">
        <v>1</v>
      </c>
      <c r="E19">
        <f>tbl_BatteryBoard[[#This Row],[Quantity Per Board]] * _xlfn.XLOOKUP("BatteryBoard", tbl_Config[Board Name], tbl_Config[Multiplier])</f>
        <v>5</v>
      </c>
    </row>
    <row r="20" spans="1:5" x14ac:dyDescent="0.45">
      <c r="A20" t="s">
        <v>6</v>
      </c>
      <c r="B20" s="4" t="s">
        <v>101</v>
      </c>
      <c r="C20" t="s">
        <v>102</v>
      </c>
      <c r="D20">
        <v>1</v>
      </c>
      <c r="E20">
        <f>tbl_BatteryBoard[[#This Row],[Quantity Per Board]] * _xlfn.XLOOKUP("BatteryBoard", tbl_Config[Board Name], tbl_Config[Multiplier])</f>
        <v>5</v>
      </c>
    </row>
    <row r="21" spans="1:5" x14ac:dyDescent="0.45">
      <c r="A21" t="s">
        <v>6</v>
      </c>
      <c r="B21" s="4" t="s">
        <v>103</v>
      </c>
      <c r="C21" t="s">
        <v>104</v>
      </c>
      <c r="D21">
        <v>1</v>
      </c>
      <c r="E21">
        <f>tbl_BatteryBoard[[#This Row],[Quantity Per Board]] * _xlfn.XLOOKUP("BatteryBoard", tbl_Config[Board Name], tbl_Config[Multiplier])</f>
        <v>5</v>
      </c>
    </row>
    <row r="22" spans="1:5" x14ac:dyDescent="0.45">
      <c r="A22" t="s">
        <v>6</v>
      </c>
      <c r="B22" s="4" t="s">
        <v>105</v>
      </c>
      <c r="C22" t="s">
        <v>106</v>
      </c>
      <c r="D22">
        <v>1</v>
      </c>
      <c r="E22">
        <f>tbl_BatteryBoard[[#This Row],[Quantity Per Board]] * _xlfn.XLOOKUP("BatteryBoard", tbl_Config[Board Name], tbl_Config[Multiplier])</f>
        <v>5</v>
      </c>
    </row>
    <row r="23" spans="1:5" x14ac:dyDescent="0.45">
      <c r="A23" t="s">
        <v>6</v>
      </c>
      <c r="B23" s="4" t="s">
        <v>107</v>
      </c>
      <c r="C23" t="s">
        <v>108</v>
      </c>
      <c r="D23">
        <v>1</v>
      </c>
      <c r="E23">
        <f>tbl_BatteryBoard[[#This Row],[Quantity Per Board]] * _xlfn.XLOOKUP("BatteryBoard", tbl_Config[Board Name], tbl_Config[Multiplier])</f>
        <v>5</v>
      </c>
    </row>
    <row r="24" spans="1:5" x14ac:dyDescent="0.45">
      <c r="A24" t="s">
        <v>6</v>
      </c>
      <c r="B24" s="4" t="s">
        <v>109</v>
      </c>
      <c r="C24" t="s">
        <v>110</v>
      </c>
      <c r="D24">
        <v>1</v>
      </c>
      <c r="E24">
        <f>tbl_BatteryBoard[[#This Row],[Quantity Per Board]] * _xlfn.XLOOKUP("BatteryBoard", tbl_Config[Board Name], tbl_Config[Multiplier])</f>
        <v>5</v>
      </c>
    </row>
    <row r="25" spans="1:5" x14ac:dyDescent="0.45">
      <c r="A25" t="s">
        <v>6</v>
      </c>
      <c r="B25" s="4" t="s">
        <v>111</v>
      </c>
      <c r="C25" t="s">
        <v>112</v>
      </c>
      <c r="D25">
        <v>2</v>
      </c>
      <c r="E25">
        <f>tbl_BatteryBoard[[#This Row],[Quantity Per Board]] * _xlfn.XLOOKUP("BatteryBoard", tbl_Config[Board Name], tbl_Config[Multiplier])</f>
        <v>10</v>
      </c>
    </row>
    <row r="26" spans="1:5" x14ac:dyDescent="0.45">
      <c r="A26" t="s">
        <v>6</v>
      </c>
      <c r="B26" s="4" t="s">
        <v>113</v>
      </c>
      <c r="C26" t="s">
        <v>114</v>
      </c>
      <c r="D26">
        <v>1</v>
      </c>
      <c r="E26">
        <f>tbl_BatteryBoard[[#This Row],[Quantity Per Board]] * _xlfn.XLOOKUP("BatteryBoard", tbl_Config[Board Name], tbl_Config[Multiplier])</f>
        <v>5</v>
      </c>
    </row>
    <row r="27" spans="1:5" x14ac:dyDescent="0.45">
      <c r="A27" t="s">
        <v>6</v>
      </c>
      <c r="B27" s="4" t="s">
        <v>115</v>
      </c>
      <c r="C27" t="s">
        <v>116</v>
      </c>
      <c r="D27">
        <v>1</v>
      </c>
      <c r="E27">
        <f>tbl_BatteryBoard[[#This Row],[Quantity Per Board]] * _xlfn.XLOOKUP("BatteryBoard", tbl_Config[Board Name], tbl_Config[Multiplier])</f>
        <v>5</v>
      </c>
    </row>
    <row r="28" spans="1:5" x14ac:dyDescent="0.45">
      <c r="A28" t="s">
        <v>6</v>
      </c>
      <c r="B28" s="4" t="s">
        <v>117</v>
      </c>
      <c r="C28" t="s">
        <v>118</v>
      </c>
      <c r="D28">
        <v>2</v>
      </c>
      <c r="E28">
        <f>tbl_BatteryBoard[[#This Row],[Quantity Per Board]] * _xlfn.XLOOKUP("BatteryBoard", tbl_Config[Board Name], tbl_Config[Multiplier])</f>
        <v>10</v>
      </c>
    </row>
    <row r="29" spans="1:5" x14ac:dyDescent="0.45">
      <c r="A29" t="s">
        <v>6</v>
      </c>
      <c r="B29" s="4" t="s">
        <v>119</v>
      </c>
      <c r="C29" t="s">
        <v>120</v>
      </c>
      <c r="D29">
        <v>2</v>
      </c>
      <c r="E29">
        <f>tbl_BatteryBoard[[#This Row],[Quantity Per Board]] * _xlfn.XLOOKUP("BatteryBoard", tbl_Config[Board Name], tbl_Config[Multiplier])</f>
        <v>10</v>
      </c>
    </row>
    <row r="30" spans="1:5" x14ac:dyDescent="0.45">
      <c r="A30" t="s">
        <v>6</v>
      </c>
      <c r="B30" s="4" t="s">
        <v>121</v>
      </c>
      <c r="C30" t="s">
        <v>122</v>
      </c>
      <c r="D30">
        <v>1</v>
      </c>
      <c r="E30">
        <f>tbl_BatteryBoard[[#This Row],[Quantity Per Board]] * _xlfn.XLOOKUP("BatteryBoard", tbl_Config[Board Name], tbl_Config[Multiplier])</f>
        <v>5</v>
      </c>
    </row>
    <row r="31" spans="1:5" x14ac:dyDescent="0.45">
      <c r="A31" t="s">
        <v>6</v>
      </c>
      <c r="B31" s="4" t="s">
        <v>123</v>
      </c>
      <c r="C31" t="s">
        <v>124</v>
      </c>
      <c r="D31">
        <v>2</v>
      </c>
      <c r="E31">
        <f>tbl_BatteryBoard[[#This Row],[Quantity Per Board]] * _xlfn.XLOOKUP("BatteryBoard", tbl_Config[Board Name], tbl_Config[Multiplier])</f>
        <v>10</v>
      </c>
    </row>
    <row r="32" spans="1:5" x14ac:dyDescent="0.45">
      <c r="A32" t="s">
        <v>6</v>
      </c>
      <c r="B32" s="4" t="s">
        <v>125</v>
      </c>
      <c r="C32" t="s">
        <v>126</v>
      </c>
      <c r="D32">
        <v>1</v>
      </c>
      <c r="E32">
        <f>tbl_BatteryBoard[[#This Row],[Quantity Per Board]] * _xlfn.XLOOKUP("BatteryBoard", tbl_Config[Board Name], tbl_Config[Multiplier])</f>
        <v>5</v>
      </c>
    </row>
    <row r="33" spans="1:5" x14ac:dyDescent="0.45">
      <c r="A33" t="s">
        <v>6</v>
      </c>
      <c r="B33" s="4" t="s">
        <v>127</v>
      </c>
      <c r="C33" t="s">
        <v>128</v>
      </c>
      <c r="D33">
        <v>1</v>
      </c>
      <c r="E33">
        <f>tbl_BatteryBoard[[#This Row],[Quantity Per Board]] * _xlfn.XLOOKUP("BatteryBoard", tbl_Config[Board Name], tbl_Config[Multiplier])</f>
        <v>5</v>
      </c>
    </row>
    <row r="34" spans="1:5" x14ac:dyDescent="0.45">
      <c r="A34" t="s">
        <v>6</v>
      </c>
      <c r="B34" s="4" t="s">
        <v>129</v>
      </c>
      <c r="C34" t="s">
        <v>130</v>
      </c>
      <c r="D34">
        <v>4</v>
      </c>
      <c r="E34">
        <f>tbl_BatteryBoard[[#This Row],[Quantity Per Board]] * _xlfn.XLOOKUP("BatteryBoard", tbl_Config[Board Name], tbl_Config[Multiplier])</f>
        <v>20</v>
      </c>
    </row>
    <row r="35" spans="1:5" x14ac:dyDescent="0.45">
      <c r="A35" t="s">
        <v>6</v>
      </c>
      <c r="B35" s="4" t="s">
        <v>131</v>
      </c>
      <c r="C35" t="s">
        <v>132</v>
      </c>
      <c r="D35">
        <v>2</v>
      </c>
      <c r="E35">
        <f>tbl_BatteryBoard[[#This Row],[Quantity Per Board]] * _xlfn.XLOOKUP("BatteryBoard", tbl_Config[Board Name], tbl_Config[Multiplier])</f>
        <v>10</v>
      </c>
    </row>
    <row r="36" spans="1:5" x14ac:dyDescent="0.45">
      <c r="A36" t="s">
        <v>6</v>
      </c>
      <c r="B36" s="4" t="s">
        <v>133</v>
      </c>
      <c r="C36" t="s">
        <v>134</v>
      </c>
      <c r="D36">
        <v>2</v>
      </c>
      <c r="E36">
        <f>tbl_BatteryBoard[[#This Row],[Quantity Per Board]] * _xlfn.XLOOKUP("BatteryBoard", tbl_Config[Board Name], tbl_Config[Multiplier])</f>
        <v>10</v>
      </c>
    </row>
    <row r="37" spans="1:5" x14ac:dyDescent="0.45">
      <c r="A37" t="s">
        <v>6</v>
      </c>
      <c r="B37" s="4" t="s">
        <v>135</v>
      </c>
      <c r="C37" t="s">
        <v>136</v>
      </c>
      <c r="D37">
        <v>2</v>
      </c>
      <c r="E37">
        <f>tbl_BatteryBoard[[#This Row],[Quantity Per Board]] * _xlfn.XLOOKUP("BatteryBoard", tbl_Config[Board Name], tbl_Config[Multiplier])</f>
        <v>10</v>
      </c>
    </row>
    <row r="38" spans="1:5" x14ac:dyDescent="0.45">
      <c r="A38" t="s">
        <v>6</v>
      </c>
      <c r="B38" s="4" t="s">
        <v>137</v>
      </c>
      <c r="C38" t="s">
        <v>138</v>
      </c>
      <c r="D38">
        <v>1</v>
      </c>
      <c r="E38">
        <f>tbl_BatteryBoard[[#This Row],[Quantity Per Board]] * _xlfn.XLOOKUP("BatteryBoard", tbl_Config[Board Name], tbl_Config[Multiplier])</f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B9DB-43E8-4E58-8270-016602C8E15A}">
  <dimension ref="A1:G6"/>
  <sheetViews>
    <sheetView zoomScale="130" zoomScaleNormal="130" workbookViewId="0"/>
  </sheetViews>
  <sheetFormatPr defaultRowHeight="14.25" x14ac:dyDescent="0.45"/>
  <cols>
    <col min="1" max="1" width="10.796875" customWidth="1"/>
    <col min="2" max="2" width="20.796875" style="4" bestFit="1" customWidth="1"/>
    <col min="3" max="3" width="35.53125" bestFit="1" customWidth="1"/>
    <col min="4" max="4" width="17.1328125" customWidth="1"/>
  </cols>
  <sheetData>
    <row r="1" spans="1:7" x14ac:dyDescent="0.45">
      <c r="A1" t="s">
        <v>1</v>
      </c>
      <c r="B1" s="4" t="s">
        <v>0</v>
      </c>
      <c r="C1" t="s">
        <v>2</v>
      </c>
      <c r="D1" t="s">
        <v>5</v>
      </c>
      <c r="E1" t="s">
        <v>168</v>
      </c>
    </row>
    <row r="2" spans="1:7" x14ac:dyDescent="0.45">
      <c r="A2" t="s">
        <v>6</v>
      </c>
      <c r="B2" s="4" t="s">
        <v>36</v>
      </c>
      <c r="C2" t="s">
        <v>37</v>
      </c>
      <c r="D2">
        <v>3</v>
      </c>
      <c r="E2">
        <f>tbl_AntennaBoard[[#This Row],[Quantity Per Board]] * _xlfn.XLOOKUP("AntennaBoard", tbl_Config[Board Name], tbl_Config[Multiplier])</f>
        <v>15</v>
      </c>
    </row>
    <row r="3" spans="1:7" x14ac:dyDescent="0.45">
      <c r="A3" t="s">
        <v>6</v>
      </c>
      <c r="B3" s="4" t="s">
        <v>3</v>
      </c>
      <c r="C3" t="s">
        <v>4</v>
      </c>
      <c r="D3">
        <v>1</v>
      </c>
      <c r="E3">
        <f>tbl_AntennaBoard[[#This Row],[Quantity Per Board]] * _xlfn.XLOOKUP("AntennaBoard", tbl_Config[Board Name], tbl_Config[Multiplier])</f>
        <v>5</v>
      </c>
    </row>
    <row r="4" spans="1:7" x14ac:dyDescent="0.45">
      <c r="A4" t="s">
        <v>139</v>
      </c>
      <c r="B4" s="4" t="s">
        <v>140</v>
      </c>
      <c r="C4" t="s">
        <v>140</v>
      </c>
      <c r="D4">
        <v>1</v>
      </c>
      <c r="E4">
        <f>tbl_AntennaBoard[[#This Row],[Quantity Per Board]] * _xlfn.XLOOKUP("AntennaBoard", tbl_Config[Board Name], tbl_Config[Multiplier])</f>
        <v>5</v>
      </c>
    </row>
    <row r="5" spans="1:7" x14ac:dyDescent="0.45">
      <c r="A5" t="s">
        <v>6</v>
      </c>
      <c r="B5" s="4" t="s">
        <v>18</v>
      </c>
      <c r="C5" t="s">
        <v>25</v>
      </c>
      <c r="D5">
        <v>3</v>
      </c>
      <c r="E5">
        <f>tbl_AntennaBoard[[#This Row],[Quantity Per Board]] * _xlfn.XLOOKUP("AntennaBoard", tbl_Config[Board Name], tbl_Config[Multiplier])</f>
        <v>15</v>
      </c>
      <c r="F5" s="3"/>
      <c r="G5" s="1"/>
    </row>
    <row r="6" spans="1:7" x14ac:dyDescent="0.45">
      <c r="A6" t="s">
        <v>6</v>
      </c>
      <c r="B6" s="4" t="s">
        <v>137</v>
      </c>
      <c r="C6" t="s">
        <v>138</v>
      </c>
      <c r="D6">
        <v>1</v>
      </c>
      <c r="E6">
        <f>tbl_AntennaBoard[[#This Row],[Quantity Per Board]] * _xlfn.XLOOKUP("AntennaBoard", tbl_Config[Board Name], tbl_Config[Multiplier])</f>
        <v>5</v>
      </c>
      <c r="F6" s="3"/>
      <c r="G6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ADD6-C807-45D7-B61F-A43D5EF74A32}">
  <dimension ref="A1:E16"/>
  <sheetViews>
    <sheetView topLeftCell="B1" zoomScale="130" zoomScaleNormal="130" workbookViewId="0">
      <selection activeCell="C19" sqref="C19"/>
    </sheetView>
  </sheetViews>
  <sheetFormatPr defaultRowHeight="14.25" x14ac:dyDescent="0.45"/>
  <cols>
    <col min="1" max="1" width="10.796875" customWidth="1"/>
    <col min="2" max="2" width="20.796875" style="4" bestFit="1" customWidth="1"/>
    <col min="3" max="3" width="35.53125" bestFit="1" customWidth="1"/>
    <col min="4" max="4" width="17.1328125" customWidth="1"/>
  </cols>
  <sheetData>
    <row r="1" spans="1:5" x14ac:dyDescent="0.45">
      <c r="A1" t="s">
        <v>1</v>
      </c>
      <c r="B1" s="4" t="s">
        <v>0</v>
      </c>
      <c r="C1" t="s">
        <v>2</v>
      </c>
      <c r="D1" t="s">
        <v>5</v>
      </c>
      <c r="E1" t="s">
        <v>168</v>
      </c>
    </row>
    <row r="2" spans="1:5" x14ac:dyDescent="0.45">
      <c r="A2" t="s">
        <v>6</v>
      </c>
      <c r="B2" s="4" t="s">
        <v>3</v>
      </c>
      <c r="C2" t="s">
        <v>4</v>
      </c>
      <c r="D2">
        <v>1</v>
      </c>
      <c r="E2">
        <f>tbl_SolarBoard[[#This Row],[Quantity Per Board]] * _xlfn.XLOOKUP("SolarBoard", tbl_Config[Board Name], tbl_Config[Multiplier])</f>
        <v>15</v>
      </c>
    </row>
    <row r="3" spans="1:5" x14ac:dyDescent="0.45">
      <c r="A3" t="s">
        <v>6</v>
      </c>
      <c r="B3" s="4" t="s">
        <v>30</v>
      </c>
      <c r="C3" t="s">
        <v>31</v>
      </c>
      <c r="D3">
        <v>3</v>
      </c>
      <c r="E3">
        <f>tbl_SolarBoard[[#This Row],[Quantity Per Board]] * _xlfn.XLOOKUP("SolarBoard", tbl_Config[Board Name], tbl_Config[Multiplier])</f>
        <v>45</v>
      </c>
    </row>
    <row r="4" spans="1:5" x14ac:dyDescent="0.45">
      <c r="A4" t="s">
        <v>6</v>
      </c>
      <c r="B4" s="4" t="s">
        <v>84</v>
      </c>
      <c r="C4" s="2" t="s">
        <v>83</v>
      </c>
      <c r="D4">
        <v>1</v>
      </c>
      <c r="E4">
        <f>tbl_SolarBoard[[#This Row],[Quantity Per Board]] * _xlfn.XLOOKUP("SolarBoard", tbl_Config[Board Name], tbl_Config[Multiplier])</f>
        <v>15</v>
      </c>
    </row>
    <row r="5" spans="1:5" x14ac:dyDescent="0.45">
      <c r="A5" t="s">
        <v>6</v>
      </c>
      <c r="B5" s="4" t="s">
        <v>32</v>
      </c>
      <c r="C5" t="s">
        <v>33</v>
      </c>
      <c r="D5">
        <v>5</v>
      </c>
      <c r="E5">
        <f>tbl_SolarBoard[[#This Row],[Quantity Per Board]] * _xlfn.XLOOKUP("SolarBoard", tbl_Config[Board Name], tbl_Config[Multiplier])</f>
        <v>75</v>
      </c>
    </row>
    <row r="6" spans="1:5" x14ac:dyDescent="0.45">
      <c r="A6" t="s">
        <v>6</v>
      </c>
      <c r="B6" s="4" t="s">
        <v>141</v>
      </c>
      <c r="C6" t="s">
        <v>142</v>
      </c>
      <c r="D6">
        <v>3</v>
      </c>
      <c r="E6">
        <f>tbl_SolarBoard[[#This Row],[Quantity Per Board]] * _xlfn.XLOOKUP("SolarBoard", tbl_Config[Board Name], tbl_Config[Multiplier])</f>
        <v>45</v>
      </c>
    </row>
    <row r="7" spans="1:5" x14ac:dyDescent="0.45">
      <c r="A7" t="s">
        <v>6</v>
      </c>
      <c r="B7" s="4" t="s">
        <v>143</v>
      </c>
      <c r="C7" t="s">
        <v>144</v>
      </c>
      <c r="D7">
        <v>2</v>
      </c>
      <c r="E7">
        <f>tbl_SolarBoard[[#This Row],[Quantity Per Board]] * _xlfn.XLOOKUP("SolarBoard", tbl_Config[Board Name], tbl_Config[Multiplier])</f>
        <v>30</v>
      </c>
    </row>
    <row r="8" spans="1:5" x14ac:dyDescent="0.45">
      <c r="A8" t="s">
        <v>6</v>
      </c>
      <c r="B8" s="4" t="s">
        <v>145</v>
      </c>
      <c r="C8" t="s">
        <v>146</v>
      </c>
      <c r="D8">
        <v>1</v>
      </c>
      <c r="E8">
        <f>tbl_SolarBoard[[#This Row],[Quantity Per Board]] * _xlfn.XLOOKUP("SolarBoard", tbl_Config[Board Name], tbl_Config[Multiplier])</f>
        <v>15</v>
      </c>
    </row>
    <row r="9" spans="1:5" x14ac:dyDescent="0.45">
      <c r="A9" t="s">
        <v>6</v>
      </c>
      <c r="B9" s="4" t="s">
        <v>147</v>
      </c>
      <c r="C9" t="s">
        <v>148</v>
      </c>
      <c r="D9">
        <v>1</v>
      </c>
      <c r="E9">
        <f>tbl_SolarBoard[[#This Row],[Quantity Per Board]] * _xlfn.XLOOKUP("SolarBoard", tbl_Config[Board Name], tbl_Config[Multiplier])</f>
        <v>15</v>
      </c>
    </row>
    <row r="10" spans="1:5" x14ac:dyDescent="0.45">
      <c r="A10" t="s">
        <v>6</v>
      </c>
      <c r="B10" s="4" t="s">
        <v>149</v>
      </c>
      <c r="C10" t="s">
        <v>150</v>
      </c>
      <c r="D10">
        <v>1</v>
      </c>
      <c r="E10">
        <f>tbl_SolarBoard[[#This Row],[Quantity Per Board]] * _xlfn.XLOOKUP("SolarBoard", tbl_Config[Board Name], tbl_Config[Multiplier])</f>
        <v>15</v>
      </c>
    </row>
    <row r="11" spans="1:5" x14ac:dyDescent="0.45">
      <c r="A11" t="s">
        <v>6</v>
      </c>
      <c r="B11" s="4" t="s">
        <v>151</v>
      </c>
      <c r="C11" t="s">
        <v>152</v>
      </c>
      <c r="D11">
        <v>4</v>
      </c>
      <c r="E11">
        <f>tbl_SolarBoard[[#This Row],[Quantity Per Board]] * _xlfn.XLOOKUP("SolarBoard", tbl_Config[Board Name], tbl_Config[Multiplier])</f>
        <v>60</v>
      </c>
    </row>
    <row r="12" spans="1:5" x14ac:dyDescent="0.45">
      <c r="A12" t="s">
        <v>6</v>
      </c>
      <c r="B12" s="4" t="s">
        <v>153</v>
      </c>
      <c r="C12" t="s">
        <v>154</v>
      </c>
      <c r="D12">
        <v>1</v>
      </c>
      <c r="E12">
        <f>tbl_SolarBoard[[#This Row],[Quantity Per Board]] * _xlfn.XLOOKUP("SolarBoard", tbl_Config[Board Name], tbl_Config[Multiplier])</f>
        <v>15</v>
      </c>
    </row>
    <row r="13" spans="1:5" x14ac:dyDescent="0.45">
      <c r="A13" t="s">
        <v>6</v>
      </c>
      <c r="B13" s="4" t="s">
        <v>155</v>
      </c>
      <c r="C13" t="s">
        <v>156</v>
      </c>
      <c r="D13">
        <v>1</v>
      </c>
      <c r="E13">
        <f>tbl_SolarBoard[[#This Row],[Quantity Per Board]] * _xlfn.XLOOKUP("SolarBoard", tbl_Config[Board Name], tbl_Config[Multiplier])</f>
        <v>15</v>
      </c>
    </row>
    <row r="14" spans="1:5" x14ac:dyDescent="0.45">
      <c r="A14" t="s">
        <v>6</v>
      </c>
      <c r="B14" s="4" t="s">
        <v>157</v>
      </c>
      <c r="C14" t="s">
        <v>158</v>
      </c>
      <c r="D14">
        <v>1</v>
      </c>
      <c r="E14">
        <f>tbl_SolarBoard[[#This Row],[Quantity Per Board]] * _xlfn.XLOOKUP("SolarBoard", tbl_Config[Board Name], tbl_Config[Multiplier])</f>
        <v>15</v>
      </c>
    </row>
    <row r="15" spans="1:5" x14ac:dyDescent="0.45">
      <c r="A15" t="s">
        <v>6</v>
      </c>
      <c r="B15" s="4" t="s">
        <v>159</v>
      </c>
      <c r="C15" t="s">
        <v>160</v>
      </c>
      <c r="D15">
        <v>8</v>
      </c>
      <c r="E15">
        <f>tbl_SolarBoard[[#This Row],[Quantity Per Board]] * _xlfn.XLOOKUP("SolarBoard", tbl_Config[Board Name], tbl_Config[Multiplier])</f>
        <v>120</v>
      </c>
    </row>
    <row r="16" spans="1:5" x14ac:dyDescent="0.45">
      <c r="A16" t="s">
        <v>6</v>
      </c>
      <c r="B16" s="4" t="s">
        <v>54</v>
      </c>
      <c r="C16" t="s">
        <v>53</v>
      </c>
      <c r="D16">
        <v>1</v>
      </c>
      <c r="E16">
        <f>tbl_SolarBoard[[#This Row],[Quantity Per Board]] * _xlfn.XLOOKUP("SolarBoard", tbl_Config[Board Name], tbl_Config[Multiplier])</f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A791-D805-4AE6-AF85-069F6A00BA3D}">
  <dimension ref="A1:G24"/>
  <sheetViews>
    <sheetView zoomScaleNormal="100" workbookViewId="0">
      <selection activeCell="B2" sqref="B2"/>
    </sheetView>
  </sheetViews>
  <sheetFormatPr defaultRowHeight="14.25" x14ac:dyDescent="0.45"/>
  <cols>
    <col min="1" max="1" width="11.1328125" customWidth="1"/>
    <col min="2" max="2" width="23.06640625" style="4" bestFit="1" customWidth="1"/>
    <col min="3" max="3" width="35.53125" bestFit="1" customWidth="1"/>
    <col min="4" max="4" width="17.3984375" customWidth="1"/>
    <col min="5" max="5" width="16.46484375" customWidth="1"/>
    <col min="6" max="6" width="9" style="3" bestFit="1" customWidth="1"/>
    <col min="7" max="7" width="9.06640625" style="1"/>
  </cols>
  <sheetData>
    <row r="1" spans="1:5" x14ac:dyDescent="0.45">
      <c r="A1" t="s">
        <v>1</v>
      </c>
      <c r="B1" s="4" t="s">
        <v>0</v>
      </c>
      <c r="C1" t="s">
        <v>2</v>
      </c>
      <c r="D1" t="s">
        <v>5</v>
      </c>
      <c r="E1" t="s">
        <v>168</v>
      </c>
    </row>
    <row r="2" spans="1:5" x14ac:dyDescent="0.45">
      <c r="A2" t="s">
        <v>6</v>
      </c>
      <c r="B2" s="4" t="s">
        <v>3</v>
      </c>
      <c r="C2" t="s">
        <v>4</v>
      </c>
      <c r="D2">
        <v>8</v>
      </c>
      <c r="E2">
        <f>tbl_DemoBoardSTM[[#This Row],[Quantity Per Board]] * _xlfn.XLOOKUP("DemoBoardSTM", tbl_Config[Board Name], tbl_Config[Multiplier])</f>
        <v>40</v>
      </c>
    </row>
    <row r="3" spans="1:5" x14ac:dyDescent="0.45">
      <c r="A3" t="s">
        <v>6</v>
      </c>
      <c r="B3" s="4" t="s">
        <v>30</v>
      </c>
      <c r="C3" t="s">
        <v>31</v>
      </c>
      <c r="D3">
        <v>3</v>
      </c>
      <c r="E3">
        <f>tbl_DemoBoardSTM[[#This Row],[Quantity Per Board]] * _xlfn.XLOOKUP("DemoBoardSTM", tbl_Config[Board Name], tbl_Config[Multiplier])</f>
        <v>15</v>
      </c>
    </row>
    <row r="4" spans="1:5" x14ac:dyDescent="0.45">
      <c r="A4" t="s">
        <v>6</v>
      </c>
      <c r="B4" t="s">
        <v>20</v>
      </c>
      <c r="C4" s="2" t="s">
        <v>21</v>
      </c>
      <c r="D4">
        <v>2</v>
      </c>
      <c r="E4">
        <f>tbl_DemoBoardSTM[[#This Row],[Quantity Per Board]] * _xlfn.XLOOKUP("DemoBoardSTM", tbl_Config[Board Name], tbl_Config[Multiplier])</f>
        <v>10</v>
      </c>
    </row>
    <row r="5" spans="1:5" x14ac:dyDescent="0.45">
      <c r="A5" t="s">
        <v>6</v>
      </c>
      <c r="B5" s="4" t="s">
        <v>34</v>
      </c>
      <c r="C5" s="2" t="s">
        <v>35</v>
      </c>
      <c r="D5">
        <v>2</v>
      </c>
      <c r="E5">
        <f>tbl_DemoBoardSTM[[#This Row],[Quantity Per Board]] * _xlfn.XLOOKUP("DemoBoardSTM", tbl_Config[Board Name], tbl_Config[Multiplier])</f>
        <v>10</v>
      </c>
    </row>
    <row r="6" spans="1:5" x14ac:dyDescent="0.45">
      <c r="A6" t="s">
        <v>6</v>
      </c>
      <c r="B6" s="4" t="s">
        <v>32</v>
      </c>
      <c r="C6" t="s">
        <v>33</v>
      </c>
      <c r="D6">
        <v>4</v>
      </c>
      <c r="E6">
        <f>tbl_DemoBoardSTM[[#This Row],[Quantity Per Board]] * _xlfn.XLOOKUP("DemoBoardSTM", tbl_Config[Board Name], tbl_Config[Multiplier])</f>
        <v>20</v>
      </c>
    </row>
    <row r="7" spans="1:5" x14ac:dyDescent="0.45">
      <c r="A7" t="s">
        <v>6</v>
      </c>
      <c r="B7" s="4" t="s">
        <v>36</v>
      </c>
      <c r="C7" t="s">
        <v>37</v>
      </c>
      <c r="D7">
        <v>2</v>
      </c>
      <c r="E7">
        <f>tbl_DemoBoardSTM[[#This Row],[Quantity Per Board]] * _xlfn.XLOOKUP("DemoBoardSTM", tbl_Config[Board Name], tbl_Config[Multiplier])</f>
        <v>10</v>
      </c>
    </row>
    <row r="8" spans="1:5" x14ac:dyDescent="0.45">
      <c r="A8" t="s">
        <v>6</v>
      </c>
      <c r="B8" s="4" t="s">
        <v>39</v>
      </c>
      <c r="C8" t="s">
        <v>38</v>
      </c>
      <c r="D8">
        <v>2</v>
      </c>
      <c r="E8">
        <f>tbl_DemoBoardSTM[[#This Row],[Quantity Per Board]] * _xlfn.XLOOKUP("DemoBoardSTM", tbl_Config[Board Name], tbl_Config[Multiplier])</f>
        <v>10</v>
      </c>
    </row>
    <row r="9" spans="1:5" x14ac:dyDescent="0.45">
      <c r="A9" t="s">
        <v>6</v>
      </c>
      <c r="B9" s="4" t="s">
        <v>7</v>
      </c>
      <c r="C9" t="s">
        <v>8</v>
      </c>
      <c r="D9">
        <v>3</v>
      </c>
      <c r="E9">
        <f>tbl_DemoBoardSTM[[#This Row],[Quantity Per Board]] * _xlfn.XLOOKUP("DemoBoardSTM", tbl_Config[Board Name], tbl_Config[Multiplier])</f>
        <v>15</v>
      </c>
    </row>
    <row r="10" spans="1:5" x14ac:dyDescent="0.45">
      <c r="A10" t="s">
        <v>6</v>
      </c>
      <c r="B10" t="s">
        <v>22</v>
      </c>
      <c r="C10" t="s">
        <v>23</v>
      </c>
      <c r="D10">
        <v>2</v>
      </c>
      <c r="E10">
        <f>tbl_DemoBoardSTM[[#This Row],[Quantity Per Board]] * _xlfn.XLOOKUP("DemoBoardSTM", tbl_Config[Board Name], tbl_Config[Multiplier])</f>
        <v>10</v>
      </c>
    </row>
    <row r="11" spans="1:5" x14ac:dyDescent="0.45">
      <c r="A11" t="s">
        <v>6</v>
      </c>
      <c r="B11" s="4" t="s">
        <v>40</v>
      </c>
      <c r="C11" t="s">
        <v>41</v>
      </c>
      <c r="D11">
        <v>1</v>
      </c>
      <c r="E11">
        <f>tbl_DemoBoardSTM[[#This Row],[Quantity Per Board]] * _xlfn.XLOOKUP("DemoBoardSTM", tbl_Config[Board Name], tbl_Config[Multiplier])</f>
        <v>5</v>
      </c>
    </row>
    <row r="12" spans="1:5" x14ac:dyDescent="0.45">
      <c r="A12" t="s">
        <v>6</v>
      </c>
      <c r="B12" s="4" t="s">
        <v>9</v>
      </c>
      <c r="C12" t="s">
        <v>10</v>
      </c>
      <c r="D12">
        <v>1</v>
      </c>
      <c r="E12">
        <f>tbl_DemoBoardSTM[[#This Row],[Quantity Per Board]] * _xlfn.XLOOKUP("DemoBoardSTM", tbl_Config[Board Name], tbl_Config[Multiplier])</f>
        <v>5</v>
      </c>
    </row>
    <row r="13" spans="1:5" x14ac:dyDescent="0.45">
      <c r="A13" t="s">
        <v>6</v>
      </c>
      <c r="B13" t="s">
        <v>42</v>
      </c>
      <c r="C13" t="s">
        <v>43</v>
      </c>
      <c r="D13">
        <v>1</v>
      </c>
      <c r="E13">
        <f>tbl_DemoBoardSTM[[#This Row],[Quantity Per Board]] * _xlfn.XLOOKUP("DemoBoardSTM", tbl_Config[Board Name], tbl_Config[Multiplier])</f>
        <v>5</v>
      </c>
    </row>
    <row r="14" spans="1:5" x14ac:dyDescent="0.45">
      <c r="A14" t="s">
        <v>6</v>
      </c>
      <c r="B14" s="4" t="s">
        <v>27</v>
      </c>
      <c r="C14" t="s">
        <v>44</v>
      </c>
      <c r="D14">
        <v>1</v>
      </c>
      <c r="E14">
        <f>tbl_DemoBoardSTM[[#This Row],[Quantity Per Board]] * _xlfn.XLOOKUP("DemoBoardSTM", tbl_Config[Board Name], tbl_Config[Multiplier])</f>
        <v>5</v>
      </c>
    </row>
    <row r="15" spans="1:5" x14ac:dyDescent="0.45">
      <c r="A15" t="s">
        <v>6</v>
      </c>
      <c r="B15" s="4" t="s">
        <v>28</v>
      </c>
      <c r="C15" t="s">
        <v>45</v>
      </c>
      <c r="D15">
        <v>1</v>
      </c>
      <c r="E15">
        <f>tbl_DemoBoardSTM[[#This Row],[Quantity Per Board]] * _xlfn.XLOOKUP("DemoBoardSTM", tbl_Config[Board Name], tbl_Config[Multiplier])</f>
        <v>5</v>
      </c>
    </row>
    <row r="16" spans="1:5" x14ac:dyDescent="0.45">
      <c r="A16" t="s">
        <v>6</v>
      </c>
      <c r="B16" t="s">
        <v>11</v>
      </c>
      <c r="C16" t="s">
        <v>12</v>
      </c>
      <c r="D16">
        <v>1</v>
      </c>
      <c r="E16">
        <f>tbl_DemoBoardSTM[[#This Row],[Quantity Per Board]] * _xlfn.XLOOKUP("DemoBoardSTM", tbl_Config[Board Name], tbl_Config[Multiplier])</f>
        <v>5</v>
      </c>
    </row>
    <row r="17" spans="1:5" x14ac:dyDescent="0.45">
      <c r="A17" t="s">
        <v>6</v>
      </c>
      <c r="B17" t="s">
        <v>17</v>
      </c>
      <c r="C17" t="s">
        <v>24</v>
      </c>
      <c r="D17">
        <v>1</v>
      </c>
      <c r="E17">
        <f>tbl_DemoBoardSTM[[#This Row],[Quantity Per Board]] * _xlfn.XLOOKUP("DemoBoardSTM", tbl_Config[Board Name], tbl_Config[Multiplier])</f>
        <v>5</v>
      </c>
    </row>
    <row r="18" spans="1:5" x14ac:dyDescent="0.45">
      <c r="A18" t="s">
        <v>6</v>
      </c>
      <c r="B18" s="4" t="s">
        <v>46</v>
      </c>
      <c r="C18" t="s">
        <v>47</v>
      </c>
      <c r="D18">
        <v>1</v>
      </c>
      <c r="E18">
        <f>tbl_DemoBoardSTM[[#This Row],[Quantity Per Board]] * _xlfn.XLOOKUP("DemoBoardSTM", tbl_Config[Board Name], tbl_Config[Multiplier])</f>
        <v>5</v>
      </c>
    </row>
    <row r="19" spans="1:5" x14ac:dyDescent="0.45">
      <c r="A19" t="s">
        <v>6</v>
      </c>
      <c r="B19" s="4" t="s">
        <v>29</v>
      </c>
      <c r="C19" t="s">
        <v>48</v>
      </c>
      <c r="D19">
        <v>1</v>
      </c>
      <c r="E19">
        <f>tbl_DemoBoardSTM[[#This Row],[Quantity Per Board]] * _xlfn.XLOOKUP("DemoBoardSTM", tbl_Config[Board Name], tbl_Config[Multiplier])</f>
        <v>5</v>
      </c>
    </row>
    <row r="20" spans="1:5" x14ac:dyDescent="0.45">
      <c r="A20" t="s">
        <v>6</v>
      </c>
      <c r="B20" s="4" t="s">
        <v>13</v>
      </c>
      <c r="C20" t="s">
        <v>14</v>
      </c>
      <c r="D20">
        <v>2</v>
      </c>
      <c r="E20">
        <f>tbl_DemoBoardSTM[[#This Row],[Quantity Per Board]] * _xlfn.XLOOKUP("DemoBoardSTM", tbl_Config[Board Name], tbl_Config[Multiplier])</f>
        <v>10</v>
      </c>
    </row>
    <row r="21" spans="1:5" x14ac:dyDescent="0.45">
      <c r="A21" t="s">
        <v>6</v>
      </c>
      <c r="B21" s="4" t="s">
        <v>49</v>
      </c>
      <c r="C21" t="s">
        <v>50</v>
      </c>
      <c r="D21">
        <v>1</v>
      </c>
      <c r="E21">
        <f>tbl_DemoBoardSTM[[#This Row],[Quantity Per Board]] * _xlfn.XLOOKUP("DemoBoardSTM", tbl_Config[Board Name], tbl_Config[Multiplier])</f>
        <v>5</v>
      </c>
    </row>
    <row r="22" spans="1:5" x14ac:dyDescent="0.45">
      <c r="A22" t="s">
        <v>6</v>
      </c>
      <c r="B22" t="s">
        <v>15</v>
      </c>
      <c r="C22" t="s">
        <v>16</v>
      </c>
      <c r="D22">
        <v>1</v>
      </c>
      <c r="E22">
        <f>tbl_DemoBoardSTM[[#This Row],[Quantity Per Board]] * _xlfn.XLOOKUP("DemoBoardSTM", tbl_Config[Board Name], tbl_Config[Multiplier])</f>
        <v>5</v>
      </c>
    </row>
    <row r="23" spans="1:5" x14ac:dyDescent="0.45">
      <c r="A23" t="s">
        <v>6</v>
      </c>
      <c r="B23" t="s">
        <v>18</v>
      </c>
      <c r="C23" t="s">
        <v>25</v>
      </c>
      <c r="D23">
        <v>1</v>
      </c>
      <c r="E23">
        <f>tbl_DemoBoardSTM[[#This Row],[Quantity Per Board]] * _xlfn.XLOOKUP("DemoBoardSTM", tbl_Config[Board Name], tbl_Config[Multiplier])</f>
        <v>5</v>
      </c>
    </row>
    <row r="24" spans="1:5" x14ac:dyDescent="0.45">
      <c r="A24" t="s">
        <v>6</v>
      </c>
      <c r="B24" t="s">
        <v>19</v>
      </c>
      <c r="C24" t="s">
        <v>26</v>
      </c>
      <c r="D24">
        <v>1</v>
      </c>
      <c r="E24">
        <f>tbl_DemoBoardSTM[[#This Row],[Quantity Per Board]] * _xlfn.XLOOKUP("DemoBoardSTM", tbl_Config[Board Name], tbl_Config[Multiplier])</f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D04C-82F6-4608-967E-26097D5E58ED}">
  <dimension ref="A1:G12"/>
  <sheetViews>
    <sheetView zoomScale="130" zoomScaleNormal="130" workbookViewId="0">
      <selection activeCell="C16" sqref="C16"/>
    </sheetView>
  </sheetViews>
  <sheetFormatPr defaultRowHeight="14.25" x14ac:dyDescent="0.45"/>
  <cols>
    <col min="1" max="1" width="10.796875" customWidth="1"/>
    <col min="2" max="2" width="20.796875" style="4" bestFit="1" customWidth="1"/>
    <col min="3" max="3" width="35.53125" bestFit="1" customWidth="1"/>
    <col min="4" max="4" width="17.1328125" customWidth="1"/>
  </cols>
  <sheetData>
    <row r="1" spans="1:7" x14ac:dyDescent="0.45">
      <c r="A1" t="s">
        <v>1</v>
      </c>
      <c r="B1" s="4" t="s">
        <v>0</v>
      </c>
      <c r="C1" t="s">
        <v>2</v>
      </c>
      <c r="D1" t="s">
        <v>5</v>
      </c>
      <c r="E1" t="s">
        <v>168</v>
      </c>
    </row>
    <row r="2" spans="1:7" x14ac:dyDescent="0.45">
      <c r="A2" t="s">
        <v>6</v>
      </c>
      <c r="B2" s="4" t="s">
        <v>3</v>
      </c>
      <c r="C2" t="s">
        <v>4</v>
      </c>
      <c r="D2">
        <v>1</v>
      </c>
      <c r="E2">
        <f>tbl_Backplane[[#This Row],[Quantity Per Board]] * _xlfn.XLOOKUP("Backplane", tbl_Config[Board Name], tbl_Config[Multiplier])</f>
        <v>5</v>
      </c>
    </row>
    <row r="3" spans="1:7" x14ac:dyDescent="0.45">
      <c r="A3" t="s">
        <v>6</v>
      </c>
      <c r="B3" s="4" t="s">
        <v>30</v>
      </c>
      <c r="C3" t="s">
        <v>31</v>
      </c>
      <c r="D3">
        <v>1</v>
      </c>
      <c r="E3">
        <f>tbl_Backplane[[#This Row],[Quantity Per Board]] * _xlfn.XLOOKUP("Backplane", tbl_Config[Board Name], tbl_Config[Multiplier])</f>
        <v>5</v>
      </c>
    </row>
    <row r="4" spans="1:7" x14ac:dyDescent="0.45">
      <c r="A4" t="s">
        <v>6</v>
      </c>
      <c r="B4" s="4" t="s">
        <v>64</v>
      </c>
      <c r="C4" t="s">
        <v>63</v>
      </c>
      <c r="D4">
        <v>2</v>
      </c>
      <c r="E4">
        <f>tbl_Backplane[[#This Row],[Quantity Per Board]] * _xlfn.XLOOKUP("Backplane", tbl_Config[Board Name], tbl_Config[Multiplier])</f>
        <v>10</v>
      </c>
    </row>
    <row r="5" spans="1:7" x14ac:dyDescent="0.45">
      <c r="A5" t="s">
        <v>6</v>
      </c>
      <c r="B5" s="4" t="s">
        <v>62</v>
      </c>
      <c r="C5" t="s">
        <v>61</v>
      </c>
      <c r="D5">
        <v>1</v>
      </c>
      <c r="E5">
        <f>tbl_Backplane[[#This Row],[Quantity Per Board]] * _xlfn.XLOOKUP("Backplane", tbl_Config[Board Name], tbl_Config[Multiplier])</f>
        <v>5</v>
      </c>
      <c r="F5" s="3"/>
      <c r="G5" s="1"/>
    </row>
    <row r="6" spans="1:7" x14ac:dyDescent="0.45">
      <c r="A6" t="s">
        <v>6</v>
      </c>
      <c r="B6" s="4" t="s">
        <v>60</v>
      </c>
      <c r="C6" t="s">
        <v>59</v>
      </c>
      <c r="D6">
        <v>1</v>
      </c>
      <c r="E6">
        <f>tbl_Backplane[[#This Row],[Quantity Per Board]] * _xlfn.XLOOKUP("Backplane", tbl_Config[Board Name], tbl_Config[Multiplier])</f>
        <v>5</v>
      </c>
      <c r="F6" s="3"/>
      <c r="G6" s="1"/>
    </row>
    <row r="7" spans="1:7" x14ac:dyDescent="0.45">
      <c r="A7" t="s">
        <v>6</v>
      </c>
      <c r="B7" s="4" t="s">
        <v>58</v>
      </c>
      <c r="C7" t="s">
        <v>57</v>
      </c>
      <c r="D7">
        <v>1</v>
      </c>
      <c r="E7">
        <f>tbl_Backplane[[#This Row],[Quantity Per Board]] * _xlfn.XLOOKUP("Backplane", tbl_Config[Board Name], tbl_Config[Multiplier])</f>
        <v>5</v>
      </c>
    </row>
    <row r="8" spans="1:7" x14ac:dyDescent="0.45">
      <c r="A8" t="s">
        <v>6</v>
      </c>
      <c r="B8" s="4" t="s">
        <v>56</v>
      </c>
      <c r="C8" t="s">
        <v>55</v>
      </c>
      <c r="D8">
        <v>2</v>
      </c>
      <c r="E8">
        <f>tbl_Backplane[[#This Row],[Quantity Per Board]] * _xlfn.XLOOKUP("Backplane", tbl_Config[Board Name], tbl_Config[Multiplier])</f>
        <v>10</v>
      </c>
    </row>
    <row r="9" spans="1:7" x14ac:dyDescent="0.45">
      <c r="A9" t="s">
        <v>6</v>
      </c>
      <c r="B9" s="4" t="s">
        <v>49</v>
      </c>
      <c r="C9" t="s">
        <v>50</v>
      </c>
      <c r="D9">
        <v>1</v>
      </c>
      <c r="E9">
        <f>tbl_Backplane[[#This Row],[Quantity Per Board]] * _xlfn.XLOOKUP("Backplane", tbl_Config[Board Name], tbl_Config[Multiplier])</f>
        <v>5</v>
      </c>
    </row>
    <row r="10" spans="1:7" x14ac:dyDescent="0.45">
      <c r="A10" t="s">
        <v>6</v>
      </c>
      <c r="B10" s="4" t="s">
        <v>54</v>
      </c>
      <c r="C10" t="s">
        <v>53</v>
      </c>
      <c r="D10">
        <v>1</v>
      </c>
      <c r="E10">
        <f>tbl_Backplane[[#This Row],[Quantity Per Board]] * _xlfn.XLOOKUP("Backplane", tbl_Config[Board Name], tbl_Config[Multiplier])</f>
        <v>5</v>
      </c>
    </row>
    <row r="11" spans="1:7" x14ac:dyDescent="0.45">
      <c r="A11" t="s">
        <v>6</v>
      </c>
      <c r="B11" s="4" t="s">
        <v>15</v>
      </c>
      <c r="C11" t="s">
        <v>16</v>
      </c>
      <c r="D11">
        <v>1</v>
      </c>
      <c r="E11">
        <f>tbl_Backplane[[#This Row],[Quantity Per Board]] * _xlfn.XLOOKUP("Backplane", tbl_Config[Board Name], tbl_Config[Multiplier])</f>
        <v>5</v>
      </c>
    </row>
    <row r="12" spans="1:7" x14ac:dyDescent="0.45">
      <c r="A12" t="s">
        <v>6</v>
      </c>
      <c r="B12" s="4" t="s">
        <v>52</v>
      </c>
      <c r="C12" t="s">
        <v>51</v>
      </c>
      <c r="D12">
        <v>1</v>
      </c>
      <c r="E12">
        <f>tbl_Backplane[[#This Row],[Quantity Per Board]] * _xlfn.XLOOKUP("Backplane", tbl_Config[Board Name], tbl_Config[Multiplier])</f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587229-103B-4234-B8F0-1D460567E0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All_Boards</vt:lpstr>
      <vt:lpstr>Config</vt:lpstr>
      <vt:lpstr>FlightController</vt:lpstr>
      <vt:lpstr>BatteryBoard</vt:lpstr>
      <vt:lpstr>AntennaBoard</vt:lpstr>
      <vt:lpstr>SolarBoard</vt:lpstr>
      <vt:lpstr>DemoBoardSTM</vt:lpstr>
      <vt:lpstr>Backplane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2026-05-04T01:30:25Z</dcterms:modified>
</cp:coreProperties>
</file>